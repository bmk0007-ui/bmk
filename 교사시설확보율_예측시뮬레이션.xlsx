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편계산기" sheetId="1" state="visible" r:id="rId1"/>
    <sheet xmlns:r="http://schemas.openxmlformats.org/officeDocument/2006/relationships" name="사용안내" sheetId="2" state="visible" r:id="rId2"/>
    <sheet xmlns:r="http://schemas.openxmlformats.org/officeDocument/2006/relationships" name="입력" sheetId="3" state="visible" r:id="rId3"/>
    <sheet xmlns:r="http://schemas.openxmlformats.org/officeDocument/2006/relationships" name="결과요약" sheetId="4" state="visible" r:id="rId4"/>
    <sheet xmlns:r="http://schemas.openxmlformats.org/officeDocument/2006/relationships" name="민감도" sheetId="5" state="visible" r:id="rId5"/>
    <sheet xmlns:r="http://schemas.openxmlformats.org/officeDocument/2006/relationships" name="기초자료_2025" sheetId="6" state="visible" r:id="rId6"/>
    <sheet xmlns:r="http://schemas.openxmlformats.org/officeDocument/2006/relationships" name="기초자료_202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#,##0.00;(#,##0.00);&quot;-&quot;"/>
    <numFmt numFmtId="165" formatCode="#,##0;(#,##0);&quot;-&quot;"/>
    <numFmt numFmtId="166" formatCode="0.0;-0.0;&quot;일치&quot;"/>
    <numFmt numFmtId="167" formatCode="0.000"/>
    <numFmt numFmtId="168" formatCode="0.0"/>
    <numFmt numFmtId="169" formatCode="0.0&quot;%&quot;"/>
    <numFmt numFmtId="170" formatCode="+0.0&quot;%p&quot;;-0.0&quot;%p&quot;;&quot;-&quot;"/>
    <numFmt numFmtId="171" formatCode="0&quot;㎡&quot;"/>
    <numFmt numFmtId="172" formatCode="+#,##0;-#,##0;&quot;-&quot;"/>
    <numFmt numFmtId="173" formatCode="+#,##0.00;-#,##0.00;&quot;변동 없음&quot;"/>
    <numFmt numFmtId="174" formatCode="+#,##0;-#,##0;&quot;변동 없음&quot;"/>
    <numFmt numFmtId="175" formatCode="+#,##0;-#,##0;0"/>
    <numFmt numFmtId="176" formatCode="+#,##0;-#,##0;&quot;0 (현재)&quot;"/>
    <numFmt numFmtId="177" formatCode="0&quot;%&quot;"/>
    <numFmt numFmtId="178" formatCode="+#,##0&quot;명&quot;;-#,##0&quot;명&quot;;0&quot;명&quot;"/>
    <numFmt numFmtId="179" formatCode="0.0000"/>
  </numFmts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595959"/>
      <sz val="10"/>
    </font>
    <font>
      <name val="맑은 고딕"/>
      <b val="1"/>
      <color rgb="001F3864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0000FF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color rgb="00595959"/>
      <sz val="9"/>
    </font>
    <font>
      <name val="맑은 고딕"/>
      <color rgb="00C00000"/>
      <sz val="10"/>
    </font>
    <font>
      <name val="맑은 고딕"/>
      <color rgb="00008000"/>
      <sz val="10"/>
    </font>
    <font>
      <name val="맑은 고딕"/>
      <b val="1"/>
      <color rgb="001F3864"/>
      <sz val="12"/>
    </font>
    <font>
      <name val="맑은 고딕"/>
      <b val="1"/>
      <color rgb="00C00000"/>
      <sz val="14"/>
    </font>
    <font>
      <name val="맑은 고딕"/>
      <b val="1"/>
      <color rgb="001F3864"/>
      <sz val="22"/>
    </font>
    <font>
      <name val="맑은 고딕"/>
      <color rgb="00404040"/>
      <sz val="10"/>
    </font>
    <font>
      <name val="맑은 고딕"/>
      <b val="1"/>
      <color rgb="001F3864"/>
      <sz val="10"/>
    </font>
    <font>
      <name val="맑은 고딕"/>
      <color rgb="00595959"/>
      <sz val="8"/>
    </font>
    <font>
      <name val="맑은 고딕"/>
      <color rgb="00BFBFBF"/>
      <sz val="10"/>
    </font>
    <font>
      <name val="맑은 고딕"/>
      <b val="1"/>
      <color rgb="00C00000"/>
      <sz val="12"/>
    </font>
    <font>
      <name val="맑은 고딕"/>
      <b val="1"/>
      <color rgb="000000FF"/>
      <sz val="10"/>
    </font>
    <font>
      <name val="맑은 고딕"/>
      <color rgb="00262626"/>
      <sz val="10"/>
    </font>
    <font>
      <name val="맑은 고딕"/>
      <b val="1"/>
      <color rgb="000000FF"/>
      <sz val="12"/>
    </font>
    <font>
      <name val="맑은 고딕"/>
      <b val="1"/>
      <color rgb="000000FF"/>
      <sz val="11"/>
    </font>
    <font>
      <name val="맑은 고딕"/>
      <b val="1"/>
      <color rgb="001F3864"/>
      <sz val="13"/>
    </font>
    <font>
      <name val="맑은 고딕"/>
      <b val="1"/>
      <color rgb="00C00000"/>
      <sz val="11"/>
    </font>
    <font>
      <name val="맑은 고딕"/>
      <b val="1"/>
      <color rgb="00FFFFFF"/>
      <sz val="11"/>
    </font>
    <font>
      <name val="맑은 고딕"/>
      <b val="1"/>
      <color rgb="000000FF"/>
      <sz val="22"/>
    </font>
    <font>
      <name val="맑은 고딕"/>
      <b val="1"/>
      <color rgb="001F3864"/>
      <sz val="1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44546A"/>
      </patternFill>
    </fill>
    <fill>
      <patternFill patternType="solid">
        <fgColor rgb="002F5597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548235"/>
      </patternFill>
    </fill>
    <fill>
      <patternFill patternType="solid">
        <fgColor rgb="00FFF2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164" fontId="5" fillId="0" borderId="0" pivotButton="0" quotePrefix="0" xfId="0"/>
    <xf numFmtId="0" fontId="2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5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79" fontId="5" fillId="0" borderId="0" pivotButton="0" quotePrefix="0" xfId="0"/>
    <xf numFmtId="0" fontId="26" fillId="8" borderId="1" applyAlignment="1" pivotButton="0" quotePrefix="0" xfId="0">
      <alignment horizontal="center" vertical="center" wrapText="1"/>
    </xf>
    <xf numFmtId="167" fontId="5" fillId="0" borderId="0" pivotButton="0" quotePrefix="0" xfId="0"/>
    <xf numFmtId="165" fontId="2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4" fillId="0" borderId="0" applyAlignment="1" pivotButton="0" quotePrefix="0" xfId="0">
      <alignment horizontal="center" vertical="center" wrapText="1"/>
    </xf>
    <xf numFmtId="169" fontId="14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71" fontId="5" fillId="0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22" fillId="6" borderId="1" applyAlignment="1" pivotButton="0" quotePrefix="0" xfId="0">
      <alignment horizontal="center" vertical="center" wrapText="1"/>
    </xf>
    <xf numFmtId="165" fontId="5" fillId="0" borderId="1" pivotButton="0" quotePrefix="0" xfId="0"/>
    <xf numFmtId="0" fontId="28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165" fontId="8" fillId="4" borderId="1" applyAlignment="1" pivotButton="0" quotePrefix="0" xfId="0">
      <alignment horizontal="center" vertical="center" wrapText="1"/>
    </xf>
    <xf numFmtId="165" fontId="8" fillId="4" borderId="1" pivotButton="0" quotePrefix="0" xfId="0"/>
    <xf numFmtId="0" fontId="25" fillId="12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 wrapText="1"/>
    </xf>
    <xf numFmtId="169" fontId="8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5" fillId="5" borderId="1" pivotButton="0" quotePrefix="0" xfId="0"/>
    <xf numFmtId="0" fontId="5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169" fontId="12" fillId="0" borderId="1" applyAlignment="1" pivotButton="0" quotePrefix="0" xfId="0">
      <alignment horizontal="center" vertical="center" wrapText="1"/>
    </xf>
    <xf numFmtId="170" fontId="25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172" fontId="25" fillId="0" borderId="1" applyAlignment="1" pivotButton="0" quotePrefix="0" xfId="0">
      <alignment horizontal="center" vertical="center" wrapText="1"/>
    </xf>
    <xf numFmtId="1" fontId="22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11" fillId="5" borderId="1" pivotButton="0" quotePrefix="0" xfId="0"/>
    <xf numFmtId="165" fontId="5" fillId="6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7" borderId="1" applyAlignment="1" pivotButton="0" quotePrefix="0" xfId="0">
      <alignment horizontal="center" vertical="center" wrapText="1"/>
    </xf>
    <xf numFmtId="165" fontId="4" fillId="7" borderId="1" pivotButton="0" quotePrefix="0" xfId="0"/>
    <xf numFmtId="165" fontId="2" fillId="5" borderId="1" pivotButton="0" quotePrefix="0" xfId="0"/>
    <xf numFmtId="165" fontId="6" fillId="6" borderId="1" pivotButton="0" quotePrefix="0" xfId="0"/>
    <xf numFmtId="0" fontId="12" fillId="0" borderId="0" applyAlignment="1" pivotButton="0" quotePrefix="0" xfId="0">
      <alignment horizontal="center" vertical="center" wrapText="1"/>
    </xf>
    <xf numFmtId="1" fontId="1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5" fontId="14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68" fontId="8" fillId="0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top" wrapText="1"/>
    </xf>
    <xf numFmtId="172" fontId="5" fillId="0" borderId="1" applyAlignment="1" pivotButton="0" quotePrefix="0" xfId="0">
      <alignment horizontal="center" vertical="center" wrapText="1"/>
    </xf>
    <xf numFmtId="172" fontId="5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172" fontId="8" fillId="4" borderId="1" applyAlignment="1" pivotButton="0" quotePrefix="0" xfId="0">
      <alignment horizontal="center" vertical="center" wrapText="1"/>
    </xf>
    <xf numFmtId="172" fontId="8" fillId="4" borderId="1" pivotButton="0" quotePrefix="0" xfId="0"/>
    <xf numFmtId="170" fontId="8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173" fontId="8" fillId="0" borderId="1" applyAlignment="1" pivotButton="0" quotePrefix="0" xfId="0">
      <alignment horizontal="center" vertical="center" wrapText="1"/>
    </xf>
    <xf numFmtId="174" fontId="8" fillId="0" borderId="1" applyAlignment="1" pivotButton="0" quotePrefix="0" xfId="0">
      <alignment horizontal="center" vertical="center" wrapText="1"/>
    </xf>
    <xf numFmtId="1" fontId="19" fillId="6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9" fontId="3" fillId="9" borderId="1" applyAlignment="1" pivotButton="0" quotePrefix="0" xfId="0">
      <alignment horizontal="center" vertical="center" wrapText="1"/>
    </xf>
    <xf numFmtId="165" fontId="20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75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171" fontId="8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70" fontId="3" fillId="9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4" fillId="11" borderId="1" applyAlignment="1" pivotButton="0" quotePrefix="0" xfId="0">
      <alignment horizontal="center" vertical="center" wrapText="1"/>
    </xf>
    <xf numFmtId="176" fontId="8" fillId="0" borderId="1" applyAlignment="1" pivotButton="0" quotePrefix="0" xfId="0">
      <alignment horizontal="center" vertical="center" wrapText="1"/>
    </xf>
    <xf numFmtId="177" fontId="23" fillId="6" borderId="1" applyAlignment="1" pivotButton="0" quotePrefix="0" xfId="0">
      <alignment horizontal="center" vertical="center" wrapText="1"/>
    </xf>
    <xf numFmtId="178" fontId="8" fillId="0" borderId="1" applyAlignment="1" pivotButton="0" quotePrefix="0" xfId="0">
      <alignment horizontal="center" vertical="center" wrapText="1"/>
    </xf>
    <xf numFmtId="175" fontId="23" fillId="6" borderId="1" applyAlignment="1" pivotButton="0" quotePrefix="0" xfId="0">
      <alignment horizontal="center" vertical="center" wrapText="1"/>
    </xf>
    <xf numFmtId="175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9" fontId="24" fillId="9" borderId="1" applyAlignment="1" pivotButton="0" quotePrefix="0" xfId="0">
      <alignment horizontal="center" vertical="center" wrapText="1"/>
    </xf>
    <xf numFmtId="170" fontId="24" fillId="9" borderId="1" applyAlignment="1" pivotButton="0" quotePrefix="0" xfId="0">
      <alignment horizontal="center" vertical="center" wrapText="1"/>
    </xf>
    <xf numFmtId="164" fontId="6" fillId="0" borderId="1" pivotButton="0" quotePrefix="0" xfId="0"/>
    <xf numFmtId="164" fontId="5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164" fontId="8" fillId="4" borderId="1" pivotButton="0" quotePrefix="0" xfId="0"/>
    <xf numFmtId="0" fontId="8" fillId="4" borderId="1" applyAlignment="1" pivotButton="0" quotePrefix="0" xfId="0">
      <alignment horizontal="left" vertical="center" wrapText="1"/>
    </xf>
    <xf numFmtId="165" fontId="6" fillId="0" borderId="1" pivotButton="0" quotePrefix="0" xfId="0"/>
    <xf numFmtId="165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ont>
        <name val="맑은 고딕"/>
        <b val="1"/>
        <color rgb="009C0006"/>
      </font>
      <fill>
        <patternFill patternType="solid">
          <fgColor rgb="00FFC7CE"/>
        </patternFill>
      </fill>
    </dxf>
    <dxf>
      <font>
        <name val="맑은 고딕"/>
        <b val="1"/>
        <color rgb="009C5700"/>
      </font>
      <fill>
        <patternFill patternType="solid">
          <fgColor rgb="00FFEB9C"/>
        </patternFill>
      </fill>
    </dxf>
    <dxf>
      <font>
        <name val="맑은 고딕"/>
        <b val="1"/>
        <color rgb="00006100"/>
      </font>
      <fill>
        <patternFill patternType="solid">
          <fgColor rgb="00C6EFCE"/>
        </patternFill>
      </fill>
    </dxf>
    <dxf>
      <border>
        <top style="medium">
          <color rgb="00C00000"/>
        </top>
        <bottom style="medium">
          <color rgb="00C00000"/>
        </bottom>
      </border>
    </dxf>
    <dxf>
      <font>
        <name val="맑은 고딕"/>
        <b val="1"/>
        <color rgb="00006100"/>
        <sz val="22"/>
      </font>
      <fill>
        <patternFill patternType="solid">
          <fgColor rgb="00C6EFCE"/>
        </patternFill>
      </fill>
    </dxf>
    <dxf>
      <font>
        <name val="맑은 고딕"/>
        <b val="1"/>
        <color rgb="009C5700"/>
        <sz val="22"/>
      </font>
      <fill>
        <patternFill patternType="solid">
          <fgColor rgb="00FFEB9C"/>
        </patternFill>
      </fill>
    </dxf>
    <dxf>
      <font>
        <name val="맑은 고딕"/>
        <b val="1"/>
        <color rgb="009C0006"/>
        <sz val="22"/>
      </font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ont>
        <name val="맑은 고딕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연도별 교사확보율 추이 (%)</a:t>
            </a:r>
          </a:p>
        </rich>
      </tx>
    </title>
    <plotArea>
      <lineChart>
        <grouping val="standard"/>
        <ser>
          <idx val="0"/>
          <order val="0"/>
          <tx>
            <v>재학생기준 확보율</v>
          </tx>
          <spPr>
            <a:ln xmlns:a="http://schemas.openxmlformats.org/drawingml/2006/main" w="28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.0"/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'결과요약'!$A$17:$A$23</f>
            </numRef>
          </cat>
          <val>
            <numRef>
              <f>'결과요약'!$F$17:$F$23</f>
            </numRef>
          </val>
        </ser>
        <ser>
          <idx val="1"/>
          <order val="1"/>
          <tx>
            <v>입학정원기준 확보율</v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'결과요약'!$A$17:$A$23</f>
            </numRef>
          </cat>
          <val>
            <numRef>
              <f>'결과요약'!$G$17:$G$23</f>
            </numRef>
          </val>
        </ser>
        <ser>
          <idx val="2"/>
          <order val="2"/>
          <tx>
            <v>법정 기준 100%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'결과요약'!$A$17:$A$23</f>
            </numRef>
          </cat>
          <val>
            <numRef>
              <f>'결과요약'!$N$17:$N$23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확보율(%)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재학생 기준면적 vs 교사 인정면적 (㎡)</a:t>
            </a:r>
          </a:p>
        </rich>
      </tx>
    </title>
    <plotArea>
      <barChart>
        <barDir val="col"/>
        <grouping val="clustered"/>
        <ser>
          <idx val="0"/>
          <order val="0"/>
          <tx>
            <v>재학생 기준면적(B)</v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cat>
            <numRef>
              <f>'결과요약'!$A$17:$A$23</f>
            </numRef>
          </cat>
          <val>
            <numRef>
              <f>'결과요약'!$C$17:$C$23</f>
            </numRef>
          </val>
        </ser>
        <ser>
          <idx val="1"/>
          <order val="1"/>
          <tx>
            <v>교사 인정면적(C+D+E)</v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'결과요약'!$A$17:$A$23</f>
            </numRef>
          </cat>
          <val>
            <numRef>
              <f>'결과요약'!$E$17:$E$23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재학생 증감에 따른 재학생기준 확보율</a:t>
            </a:r>
          </a:p>
        </rich>
      </tx>
    </title>
    <plotArea>
      <lineChart>
        <grouping val="standard"/>
        <ser>
          <idx val="0"/>
          <order val="0"/>
          <tx>
            <v>인문사회가 바뀔 때</v>
          </tx>
          <spPr>
            <a:ln xmlns:a="http://schemas.openxmlformats.org/drawingml/2006/main" w="25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'민감도'!$A$31:$A$43</f>
            </numRef>
          </cat>
          <val>
            <numRef>
              <f>'민감도'!$D$31:$D$43</f>
            </numRef>
          </val>
        </ser>
        <ser>
          <idx val="1"/>
          <order val="1"/>
          <tx>
            <v>자연·공학·예체능이 바뀔 때</v>
          </tx>
          <spPr>
            <a:ln xmlns:a="http://schemas.openxmlformats.org/drawingml/2006/main" w="25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'민감도'!$A$31:$A$43</f>
            </numRef>
          </cat>
          <val>
            <numRef>
              <f>'민감도'!$H$31:$H$43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재학생 증감(명)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확보율(%)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76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6" customWidth="1" min="5" max="5"/>
    <col width="4" customWidth="1" min="6" max="6"/>
    <col width="14" customWidth="1" min="7" max="7"/>
    <col width="14" customWidth="1" min="8" max="8"/>
    <col hidden="1" width="13" customWidth="1" min="10" max="10"/>
    <col hidden="1" width="13" customWidth="1" min="11" max="11"/>
  </cols>
  <sheetData>
    <row r="1" ht="30" customHeight="1">
      <c r="A1" s="1" t="inlineStr">
        <is>
          <t>간편 계산기 · 재학생 수만 넣으면 예상 교사확보율이 나옵니다</t>
        </is>
      </c>
    </row>
    <row r="2" ht="30" customHeight="1">
      <c r="A2" s="2" t="inlineStr">
        <is>
          <t>노란 칸에 예상 재학생 수만 넣으세요. 나머지는 자동 계산됩니다. 처음에는 2025년 실적이 들어 있어 2025 공시값과 같은 결과가 나옵니다.</t>
        </is>
      </c>
      <c r="J2" s="3">
        <f>기초자료_2025!$E$16</f>
        <v/>
      </c>
      <c r="K2" s="4" t="inlineStr">
        <is>
          <t>교사 인정면적 2025(㎡)</t>
        </is>
      </c>
    </row>
    <row r="3">
      <c r="A3" s="5">
        <f>"※ 건물(교사) 인정면적은 2025년 실적 "&amp;TEXT($J$2,"#,##0")&amp;"㎡ 그대로라고 가정합니다. 신축·철거를 반영하거나 연도별로 예측하려면 '입력' 시트를 쓰세요."</f>
        <v/>
      </c>
      <c r="J3" s="6">
        <f>기초자료_2025!$C$39</f>
        <v/>
      </c>
      <c r="K3" s="4" t="inlineStr">
        <is>
          <t>재학생 기준면적 2025(㎡)</t>
        </is>
      </c>
    </row>
    <row r="4">
      <c r="J4" s="6">
        <f>SUM(기초자료_2025!$G$25:$G$27)</f>
        <v/>
      </c>
      <c r="K4" s="4" t="inlineStr">
        <is>
          <t>재학생 수 2025(명)</t>
        </is>
      </c>
    </row>
    <row r="5" ht="22" customHeight="1">
      <c r="A5" s="7" t="inlineStr">
        <is>
          <t>방법 ①  전체 재학생 수만 넣기 — 가장 간단</t>
        </is>
      </c>
      <c r="B5" s="8" t="n"/>
      <c r="C5" s="8" t="n"/>
      <c r="D5" s="8" t="n"/>
      <c r="E5" s="8" t="n"/>
      <c r="F5" s="8" t="n"/>
      <c r="G5" s="8" t="n"/>
      <c r="H5" s="9" t="n"/>
      <c r="J5" s="10">
        <f>J3/J4</f>
        <v/>
      </c>
      <c r="K5" s="4" t="inlineStr">
        <is>
          <t>1인당 평균 기준면적(㎡) = J3/J4</t>
        </is>
      </c>
    </row>
    <row r="6">
      <c r="A6" s="11" t="inlineStr">
        <is>
          <t>예상 재학생 수 (명)  ✎ 입력</t>
        </is>
      </c>
      <c r="B6" s="8" t="n"/>
      <c r="C6" s="9" t="n"/>
      <c r="E6" s="11" t="inlineStr">
        <is>
          <t>예상 교사확보율</t>
        </is>
      </c>
      <c r="F6" s="9" t="n"/>
      <c r="G6" s="11" t="inlineStr">
        <is>
          <t>판정</t>
        </is>
      </c>
      <c r="H6" s="9" t="n"/>
      <c r="J6" s="12">
        <f>J2/J3*100</f>
        <v/>
      </c>
      <c r="K6" s="4" t="inlineStr">
        <is>
          <t>재학생기준 확보율 2025(%)</t>
        </is>
      </c>
    </row>
    <row r="7" ht="26" customHeight="1">
      <c r="A7" s="13">
        <f>$J$4</f>
        <v/>
      </c>
      <c r="B7" s="14" t="n"/>
      <c r="C7" s="15" t="n"/>
      <c r="D7" s="16" t="inlineStr">
        <is>
          <t>▶</t>
        </is>
      </c>
      <c r="E7" s="17">
        <f>IF(AND(ISNUMBER(A7),A7&gt;0),$J$2/(A7*$J$5)*100,"")</f>
        <v/>
      </c>
      <c r="F7" s="15" t="n"/>
      <c r="G7" s="18">
        <f>IF(NOT(ISNUMBER(E7)),"",IF(E7&lt;100,"미달",IF(E7&lt;사용안내!$C$27,"주의","적정")))</f>
        <v/>
      </c>
      <c r="H7" s="15" t="n"/>
    </row>
    <row r="8" ht="20" customHeight="1">
      <c r="A8" s="19" t="n"/>
      <c r="B8" s="20" t="n"/>
      <c r="C8" s="21" t="n"/>
      <c r="E8" s="19" t="n"/>
      <c r="F8" s="21" t="n"/>
      <c r="G8" s="19" t="n"/>
      <c r="H8" s="21" t="n"/>
    </row>
    <row r="9" ht="22" customHeight="1">
      <c r="A9" s="22">
        <f>IF(E7="","재학생 수를 0보다 큰 숫자로 넣어 주세요.","재학생이 "&amp;TEXT(A7,"#,##0")&amp;"명이면 예상 교사확보율은 "&amp;TEXT(E7,"0.0")&amp;"%입니다. (2025년 실적 "&amp;TEXT($J$6,"0.0")&amp;"%보다 "&amp;TEXT(ROUND(E7-$J$6,1),"+0.0;-0.0;0.0")&amp;"%p, "&amp;IF(E7&gt;=100,"법정 기준 100% 충족","법정 기준 100% 미달")&amp;")")</f>
        <v/>
      </c>
    </row>
    <row r="10">
      <c r="A10" s="23">
        <f>IF(E7="","","계산: 교사 인정면적 "&amp;TEXT($J$2,"#,##0")&amp;"㎡ ÷ (재학생 "&amp;TEXT(A7,"#,##0")&amp;"명 × 1인당 평균 "&amp;TEXT($J$5,"0.00")&amp;"㎡) × 100 = "&amp;TEXT(E7,"0.0")&amp;"%")</f>
        <v/>
      </c>
    </row>
    <row r="11" ht="28" customHeight="1">
      <c r="A11" s="5">
        <f>"※ 1인당 평균 "&amp;TEXT($J$5,"0.00")&amp;"㎡는 2025년 계열 구성(인문사회 1인당 12㎡, 자연과학·공학·예체능 14㎡)이 그대로 유지된다고 보고 계산한 값입니다. 계열 구성이 크게 바뀔 것 같으면 아래 방법 ②를 쓰세요."</f>
        <v/>
      </c>
    </row>
    <row r="13" ht="22" customHeight="1">
      <c r="A13" s="7" t="inlineStr">
        <is>
          <t>방법 ②  계열별 재학생 수 넣기 — 더 정확 (천안·서울, 학부·대학원 모두 합친 인원)</t>
        </is>
      </c>
      <c r="B13" s="8" t="n"/>
      <c r="C13" s="8" t="n"/>
      <c r="D13" s="8" t="n"/>
      <c r="E13" s="8" t="n"/>
      <c r="F13" s="8" t="n"/>
      <c r="G13" s="8" t="n"/>
      <c r="H13" s="9" t="n"/>
    </row>
    <row r="14" ht="36" customHeight="1">
      <c r="A14" s="24" t="inlineStr">
        <is>
          <t>계열</t>
        </is>
      </c>
      <c r="B14" s="24" t="inlineStr">
        <is>
          <t>1인당
기준면적</t>
        </is>
      </c>
      <c r="C14" s="24" t="inlineStr">
        <is>
          <t>2025 실적
(참고)</t>
        </is>
      </c>
      <c r="D14" s="24" t="inlineStr">
        <is>
          <t>예상 재학생 수
✎ 입력</t>
        </is>
      </c>
      <c r="E14" s="24" t="inlineStr">
        <is>
          <t>필요 기준면적(㎡)
= 인원 × 1인당</t>
        </is>
      </c>
      <c r="G14" s="11" t="inlineStr">
        <is>
          <t>예상 교사확보율</t>
        </is>
      </c>
      <c r="H14" s="9" t="n"/>
    </row>
    <row r="15">
      <c r="A15" s="25" t="inlineStr">
        <is>
          <t>인문사회</t>
        </is>
      </c>
      <c r="B15" s="26" t="n">
        <v>12</v>
      </c>
      <c r="C15" s="27">
        <f>SUM(기초자료_2025!C25:C27)</f>
        <v/>
      </c>
      <c r="D15" s="28">
        <f>C15</f>
        <v/>
      </c>
      <c r="E15" s="29">
        <f>B15*D15</f>
        <v/>
      </c>
      <c r="G15" s="17">
        <f>IF(E19&gt;0,$J$2/E19*100,"")</f>
        <v/>
      </c>
      <c r="H15" s="15" t="n"/>
    </row>
    <row r="16">
      <c r="A16" s="25" t="inlineStr">
        <is>
          <t>자연과학</t>
        </is>
      </c>
      <c r="B16" s="26" t="n">
        <v>14</v>
      </c>
      <c r="C16" s="27">
        <f>SUM(기초자료_2025!D25:D27)</f>
        <v/>
      </c>
      <c r="D16" s="28">
        <f>C16</f>
        <v/>
      </c>
      <c r="E16" s="29">
        <f>B16*D16</f>
        <v/>
      </c>
      <c r="G16" s="19" t="n"/>
      <c r="H16" s="21" t="n"/>
    </row>
    <row r="17">
      <c r="A17" s="25" t="inlineStr">
        <is>
          <t>공학</t>
        </is>
      </c>
      <c r="B17" s="26" t="n">
        <v>14</v>
      </c>
      <c r="C17" s="27">
        <f>SUM(기초자료_2025!E25:E27)</f>
        <v/>
      </c>
      <c r="D17" s="28">
        <f>C17</f>
        <v/>
      </c>
      <c r="E17" s="29">
        <f>B17*D17</f>
        <v/>
      </c>
      <c r="G17" s="11" t="inlineStr">
        <is>
          <t>판정</t>
        </is>
      </c>
      <c r="H17" s="9" t="n"/>
    </row>
    <row r="18">
      <c r="A18" s="25" t="inlineStr">
        <is>
          <t>예체능</t>
        </is>
      </c>
      <c r="B18" s="26" t="n">
        <v>14</v>
      </c>
      <c r="C18" s="27">
        <f>SUM(기초자료_2025!F25:F27)</f>
        <v/>
      </c>
      <c r="D18" s="28">
        <f>C18</f>
        <v/>
      </c>
      <c r="E18" s="29">
        <f>B18*D18</f>
        <v/>
      </c>
      <c r="G18" s="30">
        <f>IF(NOT(ISNUMBER(G15)),"",IF(G15&lt;100,"미달",IF(G15&lt;사용안내!$C$27,"주의","적정")))</f>
        <v/>
      </c>
      <c r="H18" s="15" t="n"/>
    </row>
    <row r="19">
      <c r="A19" s="31" t="inlineStr">
        <is>
          <t>합계</t>
        </is>
      </c>
      <c r="B19" s="32" t="inlineStr"/>
      <c r="C19" s="33">
        <f>SUM(C15:C18)</f>
        <v/>
      </c>
      <c r="D19" s="33">
        <f>SUM(D15:D18)</f>
        <v/>
      </c>
      <c r="E19" s="34">
        <f>SUM(E15:E18)</f>
        <v/>
      </c>
      <c r="G19" s="19" t="n"/>
      <c r="H19" s="21" t="n"/>
    </row>
    <row r="20" ht="30" customHeight="1">
      <c r="A20" s="22">
        <f>IF(G15="","재학생 수를 입력해 주세요.","재학생 "&amp;TEXT(D19,"#,##0")&amp;"명(인문사회 "&amp;TEXT(D15,"#,##0")&amp;" · 자연과학 "&amp;TEXT(D16,"#,##0")&amp;" · 공학 "&amp;TEXT(D17,"#,##0")&amp;" · 예체능 "&amp;TEXT(D18,"#,##0")&amp;")이면 예상 교사확보율은 "&amp;TEXT(G15,"0.0")&amp;"%입니다. (2025년 실적 대비 "&amp;TEXT(ROUND(G15-$J$6,1),"+0.0;-0.0;0.0")&amp;"%p)")</f>
        <v/>
      </c>
    </row>
    <row r="21">
      <c r="A21" s="23">
        <f>IF(G15="","","계산: 교사 인정면적 "&amp;TEXT($J$2,"#,##0")&amp;"㎡ ÷ 필요 기준면적 합계 "&amp;TEXT(E19,"#,##0")&amp;"㎡ × 100 = "&amp;TEXT(G15,"0.0")&amp;"%")</f>
        <v/>
      </c>
    </row>
    <row r="23" ht="22" customHeight="1">
      <c r="A23" s="7" t="inlineStr">
        <is>
          <t>한눈에 보는 표 — 전체 재학생 수별 예상 교사확보율 (방법 ① 기준)</t>
        </is>
      </c>
      <c r="B23" s="8" t="n"/>
      <c r="C23" s="8" t="n"/>
      <c r="D23" s="8" t="n"/>
      <c r="E23" s="8" t="n"/>
      <c r="F23" s="8" t="n"/>
      <c r="G23" s="8" t="n"/>
      <c r="H23" s="9" t="n"/>
    </row>
    <row r="24" ht="22" customHeight="1">
      <c r="A24" s="35">
        <f>"▶ 재학생이 "&amp;TEXT(ROUNDDOWN($J$2/$J$5,0),"#,##0")&amp;"명 이하면 법정 기준(100%) 충족, "&amp;TEXT(ROUNDDOWN($J$2/($J$5*사용안내!$C$27/100),0),"#,##0")&amp;"명 이하면 주의 기준("&amp;사용안내!$C$27&amp;"%) 이상입니다."</f>
        <v/>
      </c>
      <c r="B24" s="8" t="n"/>
      <c r="C24" s="8" t="n"/>
      <c r="D24" s="8" t="n"/>
      <c r="E24" s="8" t="n"/>
      <c r="F24" s="8" t="n"/>
      <c r="G24" s="8" t="n"/>
      <c r="H24" s="9" t="n"/>
    </row>
    <row r="25" ht="26" customHeight="1">
      <c r="A25" s="24" t="inlineStr">
        <is>
          <t>재학생 수(명)</t>
        </is>
      </c>
      <c r="B25" s="24" t="inlineStr">
        <is>
          <t>예상 확보율</t>
        </is>
      </c>
      <c r="C25" s="24" t="inlineStr">
        <is>
          <t>2025 실적 대비</t>
        </is>
      </c>
      <c r="D25" s="24" t="inlineStr">
        <is>
          <t>판정</t>
        </is>
      </c>
    </row>
    <row r="26">
      <c r="A26" s="36" t="n">
        <v>11000</v>
      </c>
      <c r="B26" s="37">
        <f>$J$2/(A26*$J$5)*100</f>
        <v/>
      </c>
      <c r="C26" s="38">
        <f>ROUND(B26-$J$6,1)</f>
        <v/>
      </c>
      <c r="D26" s="25">
        <f>IF(NOT(ISNUMBER(B26)),"",IF(B26&lt;100,"미달",IF(B26&lt;사용안내!$C$27,"주의","적정")))</f>
        <v/>
      </c>
    </row>
    <row r="27">
      <c r="A27" s="36" t="n">
        <v>11500</v>
      </c>
      <c r="B27" s="37">
        <f>$J$2/(A27*$J$5)*100</f>
        <v/>
      </c>
      <c r="C27" s="38">
        <f>ROUND(B27-$J$6,1)</f>
        <v/>
      </c>
      <c r="D27" s="25">
        <f>IF(NOT(ISNUMBER(B27)),"",IF(B27&lt;100,"미달",IF(B27&lt;사용안내!$C$27,"주의","적정")))</f>
        <v/>
      </c>
    </row>
    <row r="28">
      <c r="A28" s="36" t="n">
        <v>12000</v>
      </c>
      <c r="B28" s="37">
        <f>$J$2/(A28*$J$5)*100</f>
        <v/>
      </c>
      <c r="C28" s="38">
        <f>ROUND(B28-$J$6,1)</f>
        <v/>
      </c>
      <c r="D28" s="25">
        <f>IF(NOT(ISNUMBER(B28)),"",IF(B28&lt;100,"미달",IF(B28&lt;사용안내!$C$27,"주의","적정")))</f>
        <v/>
      </c>
    </row>
    <row r="29">
      <c r="A29" s="36" t="n">
        <v>12500</v>
      </c>
      <c r="B29" s="37">
        <f>$J$2/(A29*$J$5)*100</f>
        <v/>
      </c>
      <c r="C29" s="38">
        <f>ROUND(B29-$J$6,1)</f>
        <v/>
      </c>
      <c r="D29" s="25">
        <f>IF(NOT(ISNUMBER(B29)),"",IF(B29&lt;100,"미달",IF(B29&lt;사용안내!$C$27,"주의","적정")))</f>
        <v/>
      </c>
    </row>
    <row r="30">
      <c r="A30" s="36" t="n">
        <v>13000</v>
      </c>
      <c r="B30" s="37">
        <f>$J$2/(A30*$J$5)*100</f>
        <v/>
      </c>
      <c r="C30" s="38">
        <f>ROUND(B30-$J$6,1)</f>
        <v/>
      </c>
      <c r="D30" s="25">
        <f>IF(NOT(ISNUMBER(B30)),"",IF(B30&lt;100,"미달",IF(B30&lt;사용안내!$C$27,"주의","적정")))</f>
        <v/>
      </c>
    </row>
    <row r="31">
      <c r="A31" s="36" t="n">
        <v>13500</v>
      </c>
      <c r="B31" s="37">
        <f>$J$2/(A31*$J$5)*100</f>
        <v/>
      </c>
      <c r="C31" s="38">
        <f>ROUND(B31-$J$6,1)</f>
        <v/>
      </c>
      <c r="D31" s="25">
        <f>IF(NOT(ISNUMBER(B31)),"",IF(B31&lt;100,"미달",IF(B31&lt;사용안내!$C$27,"주의","적정")))</f>
        <v/>
      </c>
    </row>
    <row r="32">
      <c r="A32" s="36" t="n">
        <v>14000</v>
      </c>
      <c r="B32" s="37">
        <f>$J$2/(A32*$J$5)*100</f>
        <v/>
      </c>
      <c r="C32" s="38">
        <f>ROUND(B32-$J$6,1)</f>
        <v/>
      </c>
      <c r="D32" s="25">
        <f>IF(NOT(ISNUMBER(B32)),"",IF(B32&lt;100,"미달",IF(B32&lt;사용안내!$C$27,"주의","적정")))</f>
        <v/>
      </c>
    </row>
    <row r="33">
      <c r="A33" s="36" t="n">
        <v>14500</v>
      </c>
      <c r="B33" s="37">
        <f>$J$2/(A33*$J$5)*100</f>
        <v/>
      </c>
      <c r="C33" s="38">
        <f>ROUND(B33-$J$6,1)</f>
        <v/>
      </c>
      <c r="D33" s="25">
        <f>IF(NOT(ISNUMBER(B33)),"",IF(B33&lt;100,"미달",IF(B33&lt;사용안내!$C$27,"주의","적정")))</f>
        <v/>
      </c>
    </row>
    <row r="34">
      <c r="A34" s="36" t="n">
        <v>15000</v>
      </c>
      <c r="B34" s="37">
        <f>$J$2/(A34*$J$5)*100</f>
        <v/>
      </c>
      <c r="C34" s="38">
        <f>ROUND(B34-$J$6,1)</f>
        <v/>
      </c>
      <c r="D34" s="25">
        <f>IF(NOT(ISNUMBER(B34)),"",IF(B34&lt;100,"미달",IF(B34&lt;사용안내!$C$27,"주의","적정")))</f>
        <v/>
      </c>
    </row>
    <row r="35">
      <c r="A35" s="36" t="n">
        <v>15500</v>
      </c>
      <c r="B35" s="37">
        <f>$J$2/(A35*$J$5)*100</f>
        <v/>
      </c>
      <c r="C35" s="38">
        <f>ROUND(B35-$J$6,1)</f>
        <v/>
      </c>
      <c r="D35" s="25">
        <f>IF(NOT(ISNUMBER(B35)),"",IF(B35&lt;100,"미달",IF(B35&lt;사용안내!$C$27,"주의","적정")))</f>
        <v/>
      </c>
    </row>
    <row r="36">
      <c r="A36" s="36" t="n">
        <v>16000</v>
      </c>
      <c r="B36" s="37">
        <f>$J$2/(A36*$J$5)*100</f>
        <v/>
      </c>
      <c r="C36" s="38">
        <f>ROUND(B36-$J$6,1)</f>
        <v/>
      </c>
      <c r="D36" s="25">
        <f>IF(NOT(ISNUMBER(B36)),"",IF(B36&lt;100,"미달",IF(B36&lt;사용안내!$C$27,"주의","적정")))</f>
        <v/>
      </c>
    </row>
    <row r="37">
      <c r="A37" s="36" t="n">
        <v>16500</v>
      </c>
      <c r="B37" s="37">
        <f>$J$2/(A37*$J$5)*100</f>
        <v/>
      </c>
      <c r="C37" s="38">
        <f>ROUND(B37-$J$6,1)</f>
        <v/>
      </c>
      <c r="D37" s="25">
        <f>IF(NOT(ISNUMBER(B37)),"",IF(B37&lt;100,"미달",IF(B37&lt;사용안내!$C$27,"주의","적정")))</f>
        <v/>
      </c>
    </row>
    <row r="38">
      <c r="A38" s="36" t="n">
        <v>17000</v>
      </c>
      <c r="B38" s="37">
        <f>$J$2/(A38*$J$5)*100</f>
        <v/>
      </c>
      <c r="C38" s="38">
        <f>ROUND(B38-$J$6,1)</f>
        <v/>
      </c>
      <c r="D38" s="25">
        <f>IF(NOT(ISNUMBER(B38)),"",IF(B38&lt;100,"미달",IF(B38&lt;사용안내!$C$27,"주의","적정")))</f>
        <v/>
      </c>
    </row>
    <row r="39">
      <c r="A39" s="36" t="n">
        <v>17500</v>
      </c>
      <c r="B39" s="37">
        <f>$J$2/(A39*$J$5)*100</f>
        <v/>
      </c>
      <c r="C39" s="38">
        <f>ROUND(B39-$J$6,1)</f>
        <v/>
      </c>
      <c r="D39" s="25">
        <f>IF(NOT(ISNUMBER(B39)),"",IF(B39&lt;100,"미달",IF(B39&lt;사용안내!$C$27,"주의","적정")))</f>
        <v/>
      </c>
    </row>
    <row r="40">
      <c r="A40" s="36" t="n">
        <v>18000</v>
      </c>
      <c r="B40" s="37">
        <f>$J$2/(A40*$J$5)*100</f>
        <v/>
      </c>
      <c r="C40" s="38">
        <f>ROUND(B40-$J$6,1)</f>
        <v/>
      </c>
      <c r="D40" s="25">
        <f>IF(NOT(ISNUMBER(B40)),"",IF(B40&lt;100,"미달",IF(B40&lt;사용안내!$C$27,"주의","적정")))</f>
        <v/>
      </c>
    </row>
    <row r="42" ht="30" customHeight="1">
      <c r="A42" s="5" t="inlineStr">
        <is>
          <t>※ 판정: 100% 미만 = 미달, 100% 이상 ~ 주의 기준 미만 = 주의, 그 이상 = 적정 (주의 기준은 사용안내 시트에서 변경). 이 계산기는 재학생기준 확보율만 계산합니다. 입학정원기준 확보율은 재학생 수와 관계없이 입학정원·면적이 바뀔 때만 변합니다.</t>
        </is>
      </c>
    </row>
  </sheetData>
  <mergeCells count="24">
    <mergeCell ref="A9:H9"/>
    <mergeCell ref="A24:H24"/>
    <mergeCell ref="G18:H19"/>
    <mergeCell ref="G15:H16"/>
    <mergeCell ref="A11:H11"/>
    <mergeCell ref="A1:H1"/>
    <mergeCell ref="G17:H17"/>
    <mergeCell ref="E7:F8"/>
    <mergeCell ref="D7:D8"/>
    <mergeCell ref="G6:H6"/>
    <mergeCell ref="A7:C8"/>
    <mergeCell ref="A3:H3"/>
    <mergeCell ref="E6:F6"/>
    <mergeCell ref="A21:H21"/>
    <mergeCell ref="A2:H2"/>
    <mergeCell ref="A42:H42"/>
    <mergeCell ref="G14:H14"/>
    <mergeCell ref="A5:H5"/>
    <mergeCell ref="A23:H23"/>
    <mergeCell ref="G7:H8"/>
    <mergeCell ref="A20:H20"/>
    <mergeCell ref="A6:C6"/>
    <mergeCell ref="A10:H10"/>
    <mergeCell ref="A13:H13"/>
  </mergeCells>
  <conditionalFormatting sqref="G7">
    <cfRule type="expression" priority="1" dxfId="0">
      <formula>$G$7="미달"</formula>
    </cfRule>
    <cfRule type="expression" priority="2" dxfId="1">
      <formula>$G$7="주의"</formula>
    </cfRule>
    <cfRule type="expression" priority="3" dxfId="2">
      <formula>$G$7="적정"</formula>
    </cfRule>
  </conditionalFormatting>
  <conditionalFormatting sqref="G18">
    <cfRule type="expression" priority="4" dxfId="0">
      <formula>$G$18="미달"</formula>
    </cfRule>
    <cfRule type="expression" priority="5" dxfId="1">
      <formula>$G$18="주의"</formula>
    </cfRule>
    <cfRule type="expression" priority="6" dxfId="2">
      <formula>$G$18="적정"</formula>
    </cfRule>
  </conditionalFormatting>
  <conditionalFormatting sqref="D26:D40">
    <cfRule type="expression" priority="7" dxfId="0">
      <formula>D26="미달"</formula>
    </cfRule>
    <cfRule type="expression" priority="8" dxfId="1">
      <formula>D26="주의"</formula>
    </cfRule>
    <cfRule type="expression" priority="9" dxfId="2">
      <formula>D26="적정"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교사(校舍)시설 확보율 예측 시뮬레이션 — 사용안내</t>
        </is>
      </c>
    </row>
    <row r="2" ht="30" customHeight="1">
      <c r="A2" s="39" t="inlineStr">
        <is>
          <t>2025 시설현황 집계표와 2025 정보공시(14-라)를 바탕으로, 재학생 수가 바뀌면 교사확보율이 어떻게 변하는지 미리 계산해 보는 파일입니다.</t>
        </is>
      </c>
    </row>
    <row r="4" ht="22" customHeight="1">
      <c r="A4" s="7" t="inlineStr">
        <is>
          <t>이렇게 쓰세요 (3단계)  ※ 재학생 수만으로 빠르게 보려면 첫 번째 '간편계산기' 시트만 쓰면 됩니다</t>
        </is>
      </c>
      <c r="B4" s="8" t="n"/>
      <c r="C4" s="8" t="n"/>
      <c r="D4" s="8" t="n"/>
      <c r="E4" s="8" t="n"/>
      <c r="F4" s="8" t="n"/>
      <c r="G4" s="8" t="n"/>
      <c r="H4" s="9" t="n"/>
    </row>
    <row r="5" ht="34" customHeight="1">
      <c r="A5" s="40" t="inlineStr">
        <is>
          <t>1</t>
        </is>
      </c>
      <c r="B5" s="41" t="inlineStr">
        <is>
          <t>입력 시트</t>
        </is>
      </c>
      <c r="C5" s="9" t="n"/>
      <c r="D5" s="42" t="inlineStr">
        <is>
          <t>노란 칸에 연도별 예상 재학생 수를 넣습니다. 정원 조정이나 건물 신축·철거가 있으면 STEP 2·3도 고칩니다.</t>
        </is>
      </c>
      <c r="E5" s="8" t="n"/>
      <c r="F5" s="8" t="n"/>
      <c r="G5" s="8" t="n"/>
      <c r="H5" s="9" t="n"/>
    </row>
    <row r="6" ht="34" customHeight="1">
      <c r="A6" s="40" t="inlineStr">
        <is>
          <t>2</t>
        </is>
      </c>
      <c r="B6" s="41" t="inlineStr">
        <is>
          <t>결과요약 시트</t>
        </is>
      </c>
      <c r="C6" s="9" t="n"/>
      <c r="D6" s="42" t="inlineStr">
        <is>
          <t>맨 위 '조회 연도'를 고르면 그 해 확보율·여유면적·판정과 쉬운 설명 문장이 나옵니다. 아래 표와 그래프로 연도별 흐름을 봅니다.</t>
        </is>
      </c>
      <c r="E6" s="8" t="n"/>
      <c r="F6" s="8" t="n"/>
      <c r="G6" s="8" t="n"/>
      <c r="H6" s="9" t="n"/>
    </row>
    <row r="7" ht="34" customHeight="1">
      <c r="A7" s="40" t="inlineStr">
        <is>
          <t>3</t>
        </is>
      </c>
      <c r="B7" s="41" t="inlineStr">
        <is>
          <t>민감도 시트</t>
        </is>
      </c>
      <c r="C7" s="9" t="n"/>
      <c r="D7" s="42" t="inlineStr">
        <is>
          <t>재학생 증감별 확보율 변화, 목표 확보율을 지키는 최대 증가 인원, 계열을 섞은 시나리오 계산을 단계별로 확인합니다.</t>
        </is>
      </c>
      <c r="E7" s="8" t="n"/>
      <c r="F7" s="8" t="n"/>
      <c r="G7" s="8" t="n"/>
      <c r="H7" s="9" t="n"/>
    </row>
    <row r="9" ht="22" customHeight="1">
      <c r="A9" s="7" t="inlineStr">
        <is>
          <t>칸 색깔의 의미</t>
        </is>
      </c>
      <c r="B9" s="8" t="n"/>
      <c r="C9" s="8" t="n"/>
      <c r="D9" s="8" t="n"/>
      <c r="E9" s="8" t="n"/>
      <c r="F9" s="8" t="n"/>
      <c r="G9" s="8" t="n"/>
      <c r="H9" s="9" t="n"/>
    </row>
    <row r="10">
      <c r="A10" s="43" t="inlineStr"/>
      <c r="B10" s="25" t="inlineStr">
        <is>
          <t>노란 칸</t>
        </is>
      </c>
      <c r="C10" s="9" t="n"/>
      <c r="D10" s="42" t="inlineStr">
        <is>
          <t>직접 고치는 입력 칸</t>
        </is>
      </c>
      <c r="E10" s="8" t="n"/>
      <c r="F10" s="8" t="n"/>
      <c r="G10" s="8" t="n"/>
      <c r="H10" s="9" t="n"/>
    </row>
    <row r="11">
      <c r="A11" s="44" t="inlineStr"/>
      <c r="B11" s="25" t="inlineStr">
        <is>
          <t>회색 칸</t>
        </is>
      </c>
      <c r="C11" s="9" t="n"/>
      <c r="D11" s="42" t="inlineStr">
        <is>
          <t>2025 실적(기초자료와 연결, 수정 불필요)</t>
        </is>
      </c>
      <c r="E11" s="8" t="n"/>
      <c r="F11" s="8" t="n"/>
      <c r="G11" s="8" t="n"/>
      <c r="H11" s="9" t="n"/>
    </row>
    <row r="12">
      <c r="A12" s="45" t="inlineStr"/>
      <c r="B12" s="25" t="inlineStr">
        <is>
          <t>흰 칸</t>
        </is>
      </c>
      <c r="C12" s="9" t="n"/>
      <c r="D12" s="42" t="inlineStr">
        <is>
          <t>자동 계산 칸 (수정 금지)</t>
        </is>
      </c>
      <c r="E12" s="8" t="n"/>
      <c r="F12" s="8" t="n"/>
      <c r="G12" s="8" t="n"/>
      <c r="H12" s="9" t="n"/>
    </row>
    <row r="14" ht="22" customHeight="1">
      <c r="A14" s="7" t="inlineStr">
        <is>
          <t>용어 쉽게 풀기</t>
        </is>
      </c>
      <c r="B14" s="8" t="n"/>
      <c r="C14" s="8" t="n"/>
      <c r="D14" s="8" t="n"/>
      <c r="E14" s="8" t="n"/>
      <c r="F14" s="8" t="n"/>
      <c r="G14" s="8" t="n"/>
      <c r="H14" s="9" t="n"/>
    </row>
    <row r="15" ht="30" customHeight="1">
      <c r="A15" s="46" t="inlineStr">
        <is>
          <t>교사확보율</t>
        </is>
      </c>
      <c r="B15" s="8" t="n"/>
      <c r="C15" s="9" t="n"/>
      <c r="D15" s="42" t="inlineStr">
        <is>
          <t>확보율 계산에 인정되는 건물 면적 ÷ 법정 기준면적 × 100. 100% 이상이면 기준 충족</t>
        </is>
      </c>
      <c r="E15" s="8" t="n"/>
      <c r="F15" s="8" t="n"/>
      <c r="G15" s="8" t="n"/>
      <c r="H15" s="9" t="n"/>
    </row>
    <row r="16" ht="30" customHeight="1">
      <c r="A16" s="46" t="inlineStr">
        <is>
          <t>재학생 기준면적(B)</t>
        </is>
      </c>
      <c r="B16" s="8" t="n"/>
      <c r="C16" s="9" t="n"/>
      <c r="D16" s="42" t="inlineStr">
        <is>
          <t>계열별 재학생 수 × 1인당 기준면적(인문사회 12㎡, 자연과학·공학·예체능 14㎡)</t>
        </is>
      </c>
      <c r="E16" s="8" t="n"/>
      <c r="F16" s="8" t="n"/>
      <c r="G16" s="8" t="n"/>
      <c r="H16" s="9" t="n"/>
    </row>
    <row r="17" ht="30" customHeight="1">
      <c r="A17" s="46" t="inlineStr">
        <is>
          <t>입학정원 기준면적(A)</t>
        </is>
      </c>
      <c r="B17" s="8" t="n"/>
      <c r="C17" s="9" t="n"/>
      <c r="D17" s="42" t="inlineStr">
        <is>
          <t>계열별 입학정원 × 수업연한 × 1인당 기준면적. 재학생 수가 바뀌어도 변하지 않음</t>
        </is>
      </c>
      <c r="E17" s="8" t="n"/>
      <c r="F17" s="8" t="n"/>
      <c r="G17" s="8" t="n"/>
      <c r="H17" s="9" t="n"/>
    </row>
    <row r="18" ht="30" customHeight="1">
      <c r="A18" s="46" t="inlineStr">
        <is>
          <t>교사 인정면적(C+D+E)</t>
        </is>
      </c>
      <c r="B18" s="8" t="n"/>
      <c r="C18" s="9" t="n"/>
      <c r="D18" s="42" t="inlineStr">
        <is>
          <t>기본시설(강의실·실험실·도서관 등) + 지원시설(기숙사·강당 등) + 연구시설. 부속·기타시설은 제외</t>
        </is>
      </c>
      <c r="E18" s="8" t="n"/>
      <c r="F18" s="8" t="n"/>
      <c r="G18" s="8" t="n"/>
      <c r="H18" s="9" t="n"/>
    </row>
    <row r="19" ht="30" customHeight="1">
      <c r="A19" s="46" t="inlineStr">
        <is>
          <t>여유 면적</t>
        </is>
      </c>
      <c r="B19" s="8" t="n"/>
      <c r="C19" s="9" t="n"/>
      <c r="D19" s="42" t="inlineStr">
        <is>
          <t>교사 인정면적 − 재학생 기준면적. 이 면적을 1인당 기준면적으로 나누면 더 받을 수 있는 재학생 수</t>
        </is>
      </c>
      <c r="E19" s="8" t="n"/>
      <c r="F19" s="8" t="n"/>
      <c r="G19" s="8" t="n"/>
      <c r="H19" s="9" t="n"/>
    </row>
    <row r="20" ht="30" customHeight="1">
      <c r="A20" s="46" t="inlineStr">
        <is>
          <t>법정 의무 기준</t>
        </is>
      </c>
      <c r="B20" s="8" t="n"/>
      <c r="C20" s="9" t="n"/>
      <c r="D20" s="42" t="inlineStr">
        <is>
          <t>재학생이 입학정원보다 적으면 재학생 기준면적 이상, 그렇지 않으면 입학정원 기준면적 이상 보유해야 함</t>
        </is>
      </c>
      <c r="E20" s="8" t="n"/>
      <c r="F20" s="8" t="n"/>
      <c r="G20" s="8" t="n"/>
      <c r="H20" s="9" t="n"/>
    </row>
    <row r="22" ht="22" customHeight="1">
      <c r="A22" s="7" t="inlineStr">
        <is>
          <t>실적 현황</t>
        </is>
      </c>
      <c r="B22" s="8" t="n"/>
      <c r="C22" s="9" t="n"/>
      <c r="D22" s="24" t="inlineStr">
        <is>
          <t>2024 실적</t>
        </is>
      </c>
      <c r="E22" s="24" t="inlineStr">
        <is>
          <t>2025 실적</t>
        </is>
      </c>
      <c r="F22" s="24" t="inlineStr">
        <is>
          <t>변화</t>
        </is>
      </c>
    </row>
    <row r="23">
      <c r="A23" s="46" t="inlineStr">
        <is>
          <t>재학생기준 확보율</t>
        </is>
      </c>
      <c r="B23" s="8" t="n"/>
      <c r="C23" s="9" t="n"/>
      <c r="D23" s="47">
        <f>결과요약!F17</f>
        <v/>
      </c>
      <c r="E23" s="47">
        <f>결과요약!F18</f>
        <v/>
      </c>
      <c r="F23" s="48">
        <f>E23-D23</f>
        <v/>
      </c>
    </row>
    <row r="24">
      <c r="A24" s="46" t="inlineStr">
        <is>
          <t>입학정원기준 확보율</t>
        </is>
      </c>
      <c r="B24" s="8" t="n"/>
      <c r="C24" s="9" t="n"/>
      <c r="D24" s="47">
        <f>결과요약!G17</f>
        <v/>
      </c>
      <c r="E24" s="47">
        <f>결과요약!G18</f>
        <v/>
      </c>
      <c r="F24" s="48">
        <f>E24-D24</f>
        <v/>
      </c>
    </row>
    <row r="25">
      <c r="A25" s="46" t="inlineStr">
        <is>
          <t>여유 면적(㎡)</t>
        </is>
      </c>
      <c r="B25" s="8" t="n"/>
      <c r="C25" s="9" t="n"/>
      <c r="D25" s="49">
        <f>결과요약!J17</f>
        <v/>
      </c>
      <c r="E25" s="49">
        <f>결과요약!J18</f>
        <v/>
      </c>
      <c r="F25" s="50">
        <f>E25-D25</f>
        <v/>
      </c>
    </row>
    <row r="26" ht="22" customHeight="1">
      <c r="A26" s="7" t="inlineStr">
        <is>
          <t>설정</t>
        </is>
      </c>
      <c r="B26" s="8" t="n"/>
      <c r="C26" s="8" t="n"/>
      <c r="D26" s="8" t="n"/>
      <c r="E26" s="8" t="n"/>
      <c r="F26" s="8" t="n"/>
      <c r="G26" s="8" t="n"/>
      <c r="H26" s="9" t="n"/>
    </row>
    <row r="27" ht="30" customHeight="1">
      <c r="A27" s="46" t="inlineStr">
        <is>
          <t>'주의' 판정 기준(%)</t>
        </is>
      </c>
      <c r="B27" s="9" t="n"/>
      <c r="C27" s="51" t="n">
        <v>110</v>
      </c>
      <c r="D27" s="52" t="inlineStr">
        <is>
          <t>확보율이 100% 이상이지만 이 값보다 낮으면 '주의'로 표시합니다. 내부 관리용 임의 기준이므로 필요에 맞게 바꾸세요.</t>
        </is>
      </c>
      <c r="E27" s="8" t="n"/>
      <c r="F27" s="8" t="n"/>
      <c r="G27" s="8" t="n"/>
      <c r="H27" s="9" t="n"/>
    </row>
  </sheetData>
  <mergeCells count="36">
    <mergeCell ref="A9:H9"/>
    <mergeCell ref="A25:C25"/>
    <mergeCell ref="D20:H20"/>
    <mergeCell ref="B7:C7"/>
    <mergeCell ref="D10:H10"/>
    <mergeCell ref="D19:H19"/>
    <mergeCell ref="A18:C18"/>
    <mergeCell ref="A1:H1"/>
    <mergeCell ref="B12:C12"/>
    <mergeCell ref="D6:H6"/>
    <mergeCell ref="B11:C11"/>
    <mergeCell ref="A23:C23"/>
    <mergeCell ref="D11:H11"/>
    <mergeCell ref="A17:C17"/>
    <mergeCell ref="A22:C22"/>
    <mergeCell ref="D27:H27"/>
    <mergeCell ref="A27:B27"/>
    <mergeCell ref="A20:C20"/>
    <mergeCell ref="D17:H17"/>
    <mergeCell ref="D7:H7"/>
    <mergeCell ref="A19:C19"/>
    <mergeCell ref="A26:H26"/>
    <mergeCell ref="D16:H16"/>
    <mergeCell ref="A2:H2"/>
    <mergeCell ref="B10:C10"/>
    <mergeCell ref="A14:H14"/>
    <mergeCell ref="A15:C15"/>
    <mergeCell ref="D18:H18"/>
    <mergeCell ref="A24:C24"/>
    <mergeCell ref="A4:H4"/>
    <mergeCell ref="B6:C6"/>
    <mergeCell ref="D12:H12"/>
    <mergeCell ref="D15:H15"/>
    <mergeCell ref="B5:C5"/>
    <mergeCell ref="D5:H5"/>
    <mergeCell ref="A16:C16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6" customWidth="1" min="4" max="4"/>
    <col width="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입력 · 노란 칸만 고치면 결과요약이 자동으로 바뀝니다</t>
        </is>
      </c>
    </row>
    <row r="2" ht="30" customHeight="1">
      <c r="A2" s="2" t="inlineStr">
        <is>
          <t>2026년 이후 칸에는 전년도 값이 미리 들어 있습니다. 바뀔 것으로 예상되는 칸만 새 숫자로 덮어쓰세요.  예) 2027년 천안 대학원 공학 재학생 229 → 300명 예상이면 그 칸에 300 입력. 2024·2025는 실적(회색)이라 고치지 않습니다.</t>
        </is>
      </c>
    </row>
    <row r="4" ht="32" customHeight="1">
      <c r="A4" s="24" t="inlineStr">
        <is>
          <t>캠퍼스</t>
        </is>
      </c>
      <c r="B4" s="24" t="inlineStr">
        <is>
          <t>과정</t>
        </is>
      </c>
      <c r="C4" s="24" t="inlineStr">
        <is>
          <t>계열</t>
        </is>
      </c>
      <c r="D4" s="24" t="inlineStr">
        <is>
          <t>1인당
기준면적(㎡)</t>
        </is>
      </c>
      <c r="E4" s="9" t="n"/>
      <c r="F4" s="24" t="inlineStr">
        <is>
          <t>2024
실적</t>
        </is>
      </c>
      <c r="G4" s="24" t="inlineStr">
        <is>
          <t>2025
실적</t>
        </is>
      </c>
      <c r="H4" s="24" t="inlineStr">
        <is>
          <t>2026
예측</t>
        </is>
      </c>
      <c r="I4" s="24" t="inlineStr">
        <is>
          <t>2027
예측</t>
        </is>
      </c>
      <c r="J4" s="24" t="inlineStr">
        <is>
          <t>2028
예측</t>
        </is>
      </c>
      <c r="K4" s="24" t="inlineStr">
        <is>
          <t>2029
예측</t>
        </is>
      </c>
      <c r="L4" s="24" t="inlineStr">
        <is>
          <t>2030
예측</t>
        </is>
      </c>
    </row>
    <row r="6" ht="22" customHeight="1">
      <c r="A6" s="7" t="inlineStr">
        <is>
          <t>STEP 1.  재학생 수 (명) — 매년 4월 1일 기준 예상 인원  ★ 가장 중요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9" t="n"/>
    </row>
    <row r="7" ht="28" customHeight="1">
      <c r="A7" s="39" t="inlineStr">
        <is>
          <t>정원내+정원외 포함 / 계약학과, 특성화고 재직자 특별전형, 학사학위취득유예생은 빼고 입력. 대학원은 주간 재학생.</t>
        </is>
      </c>
    </row>
    <row r="8">
      <c r="A8" s="53" t="inlineStr">
        <is>
          <t>본교(천안)</t>
        </is>
      </c>
      <c r="B8" s="53" t="inlineStr">
        <is>
          <t>학부</t>
        </is>
      </c>
      <c r="C8" s="53" t="inlineStr">
        <is>
          <t>인문사회</t>
        </is>
      </c>
      <c r="D8" s="54" t="n">
        <v>12</v>
      </c>
      <c r="E8" s="9" t="n"/>
      <c r="F8" s="55">
        <f>기초자료_2024!C25</f>
        <v/>
      </c>
      <c r="G8" s="55">
        <f>기초자료_2025!C25</f>
        <v/>
      </c>
      <c r="H8" s="56">
        <f>G8</f>
        <v/>
      </c>
      <c r="I8" s="56">
        <f>H8</f>
        <v/>
      </c>
      <c r="J8" s="56">
        <f>I8</f>
        <v/>
      </c>
      <c r="K8" s="56">
        <f>J8</f>
        <v/>
      </c>
      <c r="L8" s="56">
        <f>K8</f>
        <v/>
      </c>
    </row>
    <row r="9">
      <c r="A9" s="57" t="n"/>
      <c r="B9" s="57" t="n"/>
      <c r="C9" s="53" t="inlineStr">
        <is>
          <t>자연과학</t>
        </is>
      </c>
      <c r="D9" s="54" t="n">
        <v>14</v>
      </c>
      <c r="E9" s="9" t="n"/>
      <c r="F9" s="55">
        <f>기초자료_2024!D25</f>
        <v/>
      </c>
      <c r="G9" s="55">
        <f>기초자료_2025!D25</f>
        <v/>
      </c>
      <c r="H9" s="56">
        <f>G9</f>
        <v/>
      </c>
      <c r="I9" s="56">
        <f>H9</f>
        <v/>
      </c>
      <c r="J9" s="56">
        <f>I9</f>
        <v/>
      </c>
      <c r="K9" s="56">
        <f>J9</f>
        <v/>
      </c>
      <c r="L9" s="56">
        <f>K9</f>
        <v/>
      </c>
    </row>
    <row r="10">
      <c r="A10" s="57" t="n"/>
      <c r="B10" s="57" t="n"/>
      <c r="C10" s="53" t="inlineStr">
        <is>
          <t>공학</t>
        </is>
      </c>
      <c r="D10" s="54" t="n">
        <v>14</v>
      </c>
      <c r="E10" s="9" t="n"/>
      <c r="F10" s="55">
        <f>기초자료_2024!E25</f>
        <v/>
      </c>
      <c r="G10" s="55">
        <f>기초자료_2025!E25</f>
        <v/>
      </c>
      <c r="H10" s="56">
        <f>G10</f>
        <v/>
      </c>
      <c r="I10" s="56">
        <f>H10</f>
        <v/>
      </c>
      <c r="J10" s="56">
        <f>I10</f>
        <v/>
      </c>
      <c r="K10" s="56">
        <f>J10</f>
        <v/>
      </c>
      <c r="L10" s="56">
        <f>K10</f>
        <v/>
      </c>
    </row>
    <row r="11">
      <c r="A11" s="58" t="n"/>
      <c r="B11" s="58" t="n"/>
      <c r="C11" s="53" t="inlineStr">
        <is>
          <t>예체능</t>
        </is>
      </c>
      <c r="D11" s="54" t="n">
        <v>14</v>
      </c>
      <c r="E11" s="9" t="n"/>
      <c r="F11" s="55">
        <f>기초자료_2024!F25</f>
        <v/>
      </c>
      <c r="G11" s="55">
        <f>기초자료_2025!F25</f>
        <v/>
      </c>
      <c r="H11" s="56">
        <f>G11</f>
        <v/>
      </c>
      <c r="I11" s="56">
        <f>H11</f>
        <v/>
      </c>
      <c r="J11" s="56">
        <f>I11</f>
        <v/>
      </c>
      <c r="K11" s="56">
        <f>J11</f>
        <v/>
      </c>
      <c r="L11" s="56">
        <f>K11</f>
        <v/>
      </c>
    </row>
    <row r="12">
      <c r="A12" s="31" t="inlineStr">
        <is>
          <t>본교(천안) 학부 소계</t>
        </is>
      </c>
      <c r="B12" s="8" t="n"/>
      <c r="C12" s="8" t="n"/>
      <c r="D12" s="8" t="n"/>
      <c r="E12" s="9" t="n"/>
      <c r="F12" s="34">
        <f>SUM(F8:F11)</f>
        <v/>
      </c>
      <c r="G12" s="34">
        <f>SUM(G8:G11)</f>
        <v/>
      </c>
      <c r="H12" s="34">
        <f>SUM(H8:H11)</f>
        <v/>
      </c>
      <c r="I12" s="34">
        <f>SUM(I8:I11)</f>
        <v/>
      </c>
      <c r="J12" s="34">
        <f>SUM(J8:J11)</f>
        <v/>
      </c>
      <c r="K12" s="34">
        <f>SUM(K8:K11)</f>
        <v/>
      </c>
      <c r="L12" s="34">
        <f>SUM(L8:L11)</f>
        <v/>
      </c>
    </row>
    <row r="13">
      <c r="A13" s="53" t="inlineStr">
        <is>
          <t>본교(천안)</t>
        </is>
      </c>
      <c r="B13" s="53" t="inlineStr">
        <is>
          <t>대학원</t>
        </is>
      </c>
      <c r="C13" s="53" t="inlineStr">
        <is>
          <t>인문사회</t>
        </is>
      </c>
      <c r="D13" s="54" t="n">
        <v>12</v>
      </c>
      <c r="E13" s="9" t="n"/>
      <c r="F13" s="55">
        <f>기초자료_2024!C26</f>
        <v/>
      </c>
      <c r="G13" s="55">
        <f>기초자료_2025!C26</f>
        <v/>
      </c>
      <c r="H13" s="56">
        <f>G13</f>
        <v/>
      </c>
      <c r="I13" s="56">
        <f>H13</f>
        <v/>
      </c>
      <c r="J13" s="56">
        <f>I13</f>
        <v/>
      </c>
      <c r="K13" s="56">
        <f>J13</f>
        <v/>
      </c>
      <c r="L13" s="56">
        <f>K13</f>
        <v/>
      </c>
    </row>
    <row r="14">
      <c r="A14" s="57" t="n"/>
      <c r="B14" s="57" t="n"/>
      <c r="C14" s="53" t="inlineStr">
        <is>
          <t>자연과학</t>
        </is>
      </c>
      <c r="D14" s="54" t="n">
        <v>14</v>
      </c>
      <c r="E14" s="9" t="n"/>
      <c r="F14" s="55">
        <f>기초자료_2024!D26</f>
        <v/>
      </c>
      <c r="G14" s="55">
        <f>기초자료_2025!D26</f>
        <v/>
      </c>
      <c r="H14" s="56">
        <f>G14</f>
        <v/>
      </c>
      <c r="I14" s="56">
        <f>H14</f>
        <v/>
      </c>
      <c r="J14" s="56">
        <f>I14</f>
        <v/>
      </c>
      <c r="K14" s="56">
        <f>J14</f>
        <v/>
      </c>
      <c r="L14" s="56">
        <f>K14</f>
        <v/>
      </c>
    </row>
    <row r="15">
      <c r="A15" s="57" t="n"/>
      <c r="B15" s="57" t="n"/>
      <c r="C15" s="53" t="inlineStr">
        <is>
          <t>공학</t>
        </is>
      </c>
      <c r="D15" s="54" t="n">
        <v>14</v>
      </c>
      <c r="E15" s="9" t="n"/>
      <c r="F15" s="55">
        <f>기초자료_2024!E26</f>
        <v/>
      </c>
      <c r="G15" s="55">
        <f>기초자료_2025!E26</f>
        <v/>
      </c>
      <c r="H15" s="56">
        <f>G15</f>
        <v/>
      </c>
      <c r="I15" s="56">
        <f>H15</f>
        <v/>
      </c>
      <c r="J15" s="56">
        <f>I15</f>
        <v/>
      </c>
      <c r="K15" s="56">
        <f>J15</f>
        <v/>
      </c>
      <c r="L15" s="56">
        <f>K15</f>
        <v/>
      </c>
    </row>
    <row r="16">
      <c r="A16" s="58" t="n"/>
      <c r="B16" s="58" t="n"/>
      <c r="C16" s="53" t="inlineStr">
        <is>
          <t>예체능</t>
        </is>
      </c>
      <c r="D16" s="54" t="n">
        <v>14</v>
      </c>
      <c r="E16" s="9" t="n"/>
      <c r="F16" s="55">
        <f>기초자료_2024!F26</f>
        <v/>
      </c>
      <c r="G16" s="55">
        <f>기초자료_2025!F26</f>
        <v/>
      </c>
      <c r="H16" s="56">
        <f>G16</f>
        <v/>
      </c>
      <c r="I16" s="56">
        <f>H16</f>
        <v/>
      </c>
      <c r="J16" s="56">
        <f>I16</f>
        <v/>
      </c>
      <c r="K16" s="56">
        <f>J16</f>
        <v/>
      </c>
      <c r="L16" s="56">
        <f>K16</f>
        <v/>
      </c>
    </row>
    <row r="17">
      <c r="A17" s="31" t="inlineStr">
        <is>
          <t>본교(천안) 대학원 소계</t>
        </is>
      </c>
      <c r="B17" s="8" t="n"/>
      <c r="C17" s="8" t="n"/>
      <c r="D17" s="8" t="n"/>
      <c r="E17" s="9" t="n"/>
      <c r="F17" s="34">
        <f>SUM(F13:F16)</f>
        <v/>
      </c>
      <c r="G17" s="34">
        <f>SUM(G13:G16)</f>
        <v/>
      </c>
      <c r="H17" s="34">
        <f>SUM(H13:H16)</f>
        <v/>
      </c>
      <c r="I17" s="34">
        <f>SUM(I13:I16)</f>
        <v/>
      </c>
      <c r="J17" s="34">
        <f>SUM(J13:J16)</f>
        <v/>
      </c>
      <c r="K17" s="34">
        <f>SUM(K13:K16)</f>
        <v/>
      </c>
      <c r="L17" s="34">
        <f>SUM(L13:L16)</f>
        <v/>
      </c>
    </row>
    <row r="18">
      <c r="A18" s="53" t="inlineStr">
        <is>
          <t>서울캠퍼스</t>
        </is>
      </c>
      <c r="B18" s="53" t="inlineStr">
        <is>
          <t>대학원</t>
        </is>
      </c>
      <c r="C18" s="53" t="inlineStr">
        <is>
          <t>인문사회</t>
        </is>
      </c>
      <c r="D18" s="54" t="n">
        <v>12</v>
      </c>
      <c r="E18" s="9" t="n"/>
      <c r="F18" s="55">
        <f>기초자료_2024!C27</f>
        <v/>
      </c>
      <c r="G18" s="55">
        <f>기초자료_2025!C27</f>
        <v/>
      </c>
      <c r="H18" s="56">
        <f>G18</f>
        <v/>
      </c>
      <c r="I18" s="56">
        <f>H18</f>
        <v/>
      </c>
      <c r="J18" s="56">
        <f>I18</f>
        <v/>
      </c>
      <c r="K18" s="56">
        <f>J18</f>
        <v/>
      </c>
      <c r="L18" s="56">
        <f>K18</f>
        <v/>
      </c>
    </row>
    <row r="19">
      <c r="A19" s="57" t="n"/>
      <c r="B19" s="57" t="n"/>
      <c r="C19" s="53" t="inlineStr">
        <is>
          <t>자연과학</t>
        </is>
      </c>
      <c r="D19" s="54" t="n">
        <v>14</v>
      </c>
      <c r="E19" s="9" t="n"/>
      <c r="F19" s="55">
        <f>기초자료_2024!D27</f>
        <v/>
      </c>
      <c r="G19" s="55">
        <f>기초자료_2025!D27</f>
        <v/>
      </c>
      <c r="H19" s="56">
        <f>G19</f>
        <v/>
      </c>
      <c r="I19" s="56">
        <f>H19</f>
        <v/>
      </c>
      <c r="J19" s="56">
        <f>I19</f>
        <v/>
      </c>
      <c r="K19" s="56">
        <f>J19</f>
        <v/>
      </c>
      <c r="L19" s="56">
        <f>K19</f>
        <v/>
      </c>
    </row>
    <row r="20">
      <c r="A20" s="57" t="n"/>
      <c r="B20" s="57" t="n"/>
      <c r="C20" s="53" t="inlineStr">
        <is>
          <t>공학</t>
        </is>
      </c>
      <c r="D20" s="54" t="n">
        <v>14</v>
      </c>
      <c r="E20" s="9" t="n"/>
      <c r="F20" s="55">
        <f>기초자료_2024!E27</f>
        <v/>
      </c>
      <c r="G20" s="55">
        <f>기초자료_2025!E27</f>
        <v/>
      </c>
      <c r="H20" s="56">
        <f>G20</f>
        <v/>
      </c>
      <c r="I20" s="56">
        <f>H20</f>
        <v/>
      </c>
      <c r="J20" s="56">
        <f>I20</f>
        <v/>
      </c>
      <c r="K20" s="56">
        <f>J20</f>
        <v/>
      </c>
      <c r="L20" s="56">
        <f>K20</f>
        <v/>
      </c>
    </row>
    <row r="21">
      <c r="A21" s="58" t="n"/>
      <c r="B21" s="58" t="n"/>
      <c r="C21" s="53" t="inlineStr">
        <is>
          <t>예체능</t>
        </is>
      </c>
      <c r="D21" s="54" t="n">
        <v>14</v>
      </c>
      <c r="E21" s="9" t="n"/>
      <c r="F21" s="55">
        <f>기초자료_2024!F27</f>
        <v/>
      </c>
      <c r="G21" s="55">
        <f>기초자료_2025!F27</f>
        <v/>
      </c>
      <c r="H21" s="56">
        <f>G21</f>
        <v/>
      </c>
      <c r="I21" s="56">
        <f>H21</f>
        <v/>
      </c>
      <c r="J21" s="56">
        <f>I21</f>
        <v/>
      </c>
      <c r="K21" s="56">
        <f>J21</f>
        <v/>
      </c>
      <c r="L21" s="56">
        <f>K21</f>
        <v/>
      </c>
    </row>
    <row r="22">
      <c r="A22" s="31" t="inlineStr">
        <is>
          <t>서울캠퍼스 대학원 소계</t>
        </is>
      </c>
      <c r="B22" s="8" t="n"/>
      <c r="C22" s="8" t="n"/>
      <c r="D22" s="8" t="n"/>
      <c r="E22" s="9" t="n"/>
      <c r="F22" s="34">
        <f>SUM(F18:F21)</f>
        <v/>
      </c>
      <c r="G22" s="34">
        <f>SUM(G18:G21)</f>
        <v/>
      </c>
      <c r="H22" s="34">
        <f>SUM(H18:H21)</f>
        <v/>
      </c>
      <c r="I22" s="34">
        <f>SUM(I18:I21)</f>
        <v/>
      </c>
      <c r="J22" s="34">
        <f>SUM(J18:J21)</f>
        <v/>
      </c>
      <c r="K22" s="34">
        <f>SUM(K18:K21)</f>
        <v/>
      </c>
      <c r="L22" s="34">
        <f>SUM(L18:L21)</f>
        <v/>
      </c>
    </row>
    <row r="23">
      <c r="A23" s="59" t="inlineStr">
        <is>
          <t>합계</t>
        </is>
      </c>
      <c r="B23" s="8" t="n"/>
      <c r="C23" s="8" t="n"/>
      <c r="D23" s="8" t="n"/>
      <c r="E23" s="9" t="n"/>
      <c r="F23" s="60">
        <f>F12+F17+F22</f>
        <v/>
      </c>
      <c r="G23" s="60">
        <f>G12+G17+G22</f>
        <v/>
      </c>
      <c r="H23" s="60">
        <f>H12+H17+H22</f>
        <v/>
      </c>
      <c r="I23" s="60">
        <f>I12+I17+I22</f>
        <v/>
      </c>
      <c r="J23" s="60">
        <f>J12+J17+J22</f>
        <v/>
      </c>
      <c r="K23" s="60">
        <f>K12+K17+K22</f>
        <v/>
      </c>
      <c r="L23" s="60">
        <f>L12+L17+L22</f>
        <v/>
      </c>
    </row>
    <row r="25" ht="22" customHeight="1">
      <c r="A25" s="7" t="inlineStr">
        <is>
          <t>STEP 2.  입학정원 시설정원 (명) — 정원 조정이 있을 때만 수정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 t="n"/>
    </row>
    <row r="26" ht="28" customHeight="1">
      <c r="A26" s="39" t="inlineStr">
        <is>
          <t>학부: 계열별 입학정원 × 수업연한(4년) / 대학원: 주간 입학정원 × 수업연한. 모집유보 인원, 첨단학과 결손인원 활용분은 제외.</t>
        </is>
      </c>
    </row>
    <row r="27">
      <c r="A27" s="53" t="inlineStr">
        <is>
          <t>본교(천안)</t>
        </is>
      </c>
      <c r="B27" s="53" t="inlineStr">
        <is>
          <t>학부</t>
        </is>
      </c>
      <c r="C27" s="53" t="inlineStr">
        <is>
          <t>인문사회</t>
        </is>
      </c>
      <c r="D27" s="54" t="n">
        <v>12</v>
      </c>
      <c r="E27" s="9" t="n"/>
      <c r="F27" s="55">
        <f>기초자료_2024!C21</f>
        <v/>
      </c>
      <c r="G27" s="55">
        <f>기초자료_2025!C21</f>
        <v/>
      </c>
      <c r="H27" s="56">
        <f>G27</f>
        <v/>
      </c>
      <c r="I27" s="56">
        <f>H27</f>
        <v/>
      </c>
      <c r="J27" s="56">
        <f>I27</f>
        <v/>
      </c>
      <c r="K27" s="56">
        <f>J27</f>
        <v/>
      </c>
      <c r="L27" s="56">
        <f>K27</f>
        <v/>
      </c>
    </row>
    <row r="28">
      <c r="A28" s="57" t="n"/>
      <c r="B28" s="57" t="n"/>
      <c r="C28" s="53" t="inlineStr">
        <is>
          <t>자연과학</t>
        </is>
      </c>
      <c r="D28" s="54" t="n">
        <v>14</v>
      </c>
      <c r="E28" s="9" t="n"/>
      <c r="F28" s="55">
        <f>기초자료_2024!D21</f>
        <v/>
      </c>
      <c r="G28" s="55">
        <f>기초자료_2025!D21</f>
        <v/>
      </c>
      <c r="H28" s="56">
        <f>G28</f>
        <v/>
      </c>
      <c r="I28" s="56">
        <f>H28</f>
        <v/>
      </c>
      <c r="J28" s="56">
        <f>I28</f>
        <v/>
      </c>
      <c r="K28" s="56">
        <f>J28</f>
        <v/>
      </c>
      <c r="L28" s="56">
        <f>K28</f>
        <v/>
      </c>
    </row>
    <row r="29">
      <c r="A29" s="57" t="n"/>
      <c r="B29" s="57" t="n"/>
      <c r="C29" s="53" t="inlineStr">
        <is>
          <t>공학</t>
        </is>
      </c>
      <c r="D29" s="54" t="n">
        <v>14</v>
      </c>
      <c r="E29" s="9" t="n"/>
      <c r="F29" s="55">
        <f>기초자료_2024!E21</f>
        <v/>
      </c>
      <c r="G29" s="55">
        <f>기초자료_2025!E21</f>
        <v/>
      </c>
      <c r="H29" s="56">
        <f>G29</f>
        <v/>
      </c>
      <c r="I29" s="56">
        <f>H29</f>
        <v/>
      </c>
      <c r="J29" s="56">
        <f>I29</f>
        <v/>
      </c>
      <c r="K29" s="56">
        <f>J29</f>
        <v/>
      </c>
      <c r="L29" s="56">
        <f>K29</f>
        <v/>
      </c>
    </row>
    <row r="30">
      <c r="A30" s="58" t="n"/>
      <c r="B30" s="58" t="n"/>
      <c r="C30" s="53" t="inlineStr">
        <is>
          <t>예체능</t>
        </is>
      </c>
      <c r="D30" s="54" t="n">
        <v>14</v>
      </c>
      <c r="E30" s="9" t="n"/>
      <c r="F30" s="55">
        <f>기초자료_2024!F21</f>
        <v/>
      </c>
      <c r="G30" s="55">
        <f>기초자료_2025!F21</f>
        <v/>
      </c>
      <c r="H30" s="56">
        <f>G30</f>
        <v/>
      </c>
      <c r="I30" s="56">
        <f>H30</f>
        <v/>
      </c>
      <c r="J30" s="56">
        <f>I30</f>
        <v/>
      </c>
      <c r="K30" s="56">
        <f>J30</f>
        <v/>
      </c>
      <c r="L30" s="56">
        <f>K30</f>
        <v/>
      </c>
    </row>
    <row r="31">
      <c r="A31" s="31" t="inlineStr">
        <is>
          <t>본교(천안) 학부 소계</t>
        </is>
      </c>
      <c r="B31" s="8" t="n"/>
      <c r="C31" s="8" t="n"/>
      <c r="D31" s="8" t="n"/>
      <c r="E31" s="9" t="n"/>
      <c r="F31" s="34">
        <f>SUM(F27:F30)</f>
        <v/>
      </c>
      <c r="G31" s="34">
        <f>SUM(G27:G30)</f>
        <v/>
      </c>
      <c r="H31" s="34">
        <f>SUM(H27:H30)</f>
        <v/>
      </c>
      <c r="I31" s="34">
        <f>SUM(I27:I30)</f>
        <v/>
      </c>
      <c r="J31" s="34">
        <f>SUM(J27:J30)</f>
        <v/>
      </c>
      <c r="K31" s="34">
        <f>SUM(K27:K30)</f>
        <v/>
      </c>
      <c r="L31" s="34">
        <f>SUM(L27:L30)</f>
        <v/>
      </c>
    </row>
    <row r="32">
      <c r="A32" s="53" t="inlineStr">
        <is>
          <t>본교(천안)</t>
        </is>
      </c>
      <c r="B32" s="53" t="inlineStr">
        <is>
          <t>대학원</t>
        </is>
      </c>
      <c r="C32" s="53" t="inlineStr">
        <is>
          <t>인문사회</t>
        </is>
      </c>
      <c r="D32" s="54" t="n">
        <v>12</v>
      </c>
      <c r="E32" s="9" t="n"/>
      <c r="F32" s="55">
        <f>기초자료_2024!C22</f>
        <v/>
      </c>
      <c r="G32" s="55">
        <f>기초자료_2025!C22</f>
        <v/>
      </c>
      <c r="H32" s="56">
        <f>G32</f>
        <v/>
      </c>
      <c r="I32" s="56">
        <f>H32</f>
        <v/>
      </c>
      <c r="J32" s="56">
        <f>I32</f>
        <v/>
      </c>
      <c r="K32" s="56">
        <f>J32</f>
        <v/>
      </c>
      <c r="L32" s="56">
        <f>K32</f>
        <v/>
      </c>
    </row>
    <row r="33">
      <c r="A33" s="57" t="n"/>
      <c r="B33" s="57" t="n"/>
      <c r="C33" s="53" t="inlineStr">
        <is>
          <t>자연과학</t>
        </is>
      </c>
      <c r="D33" s="54" t="n">
        <v>14</v>
      </c>
      <c r="E33" s="9" t="n"/>
      <c r="F33" s="55">
        <f>기초자료_2024!D22</f>
        <v/>
      </c>
      <c r="G33" s="55">
        <f>기초자료_2025!D22</f>
        <v/>
      </c>
      <c r="H33" s="56">
        <f>G33</f>
        <v/>
      </c>
      <c r="I33" s="56">
        <f>H33</f>
        <v/>
      </c>
      <c r="J33" s="56">
        <f>I33</f>
        <v/>
      </c>
      <c r="K33" s="56">
        <f>J33</f>
        <v/>
      </c>
      <c r="L33" s="56">
        <f>K33</f>
        <v/>
      </c>
    </row>
    <row r="34">
      <c r="A34" s="57" t="n"/>
      <c r="B34" s="57" t="n"/>
      <c r="C34" s="53" t="inlineStr">
        <is>
          <t>공학</t>
        </is>
      </c>
      <c r="D34" s="54" t="n">
        <v>14</v>
      </c>
      <c r="E34" s="9" t="n"/>
      <c r="F34" s="55">
        <f>기초자료_2024!E22</f>
        <v/>
      </c>
      <c r="G34" s="55">
        <f>기초자료_2025!E22</f>
        <v/>
      </c>
      <c r="H34" s="56">
        <f>G34</f>
        <v/>
      </c>
      <c r="I34" s="56">
        <f>H34</f>
        <v/>
      </c>
      <c r="J34" s="56">
        <f>I34</f>
        <v/>
      </c>
      <c r="K34" s="56">
        <f>J34</f>
        <v/>
      </c>
      <c r="L34" s="56">
        <f>K34</f>
        <v/>
      </c>
    </row>
    <row r="35">
      <c r="A35" s="58" t="n"/>
      <c r="B35" s="58" t="n"/>
      <c r="C35" s="53" t="inlineStr">
        <is>
          <t>예체능</t>
        </is>
      </c>
      <c r="D35" s="54" t="n">
        <v>14</v>
      </c>
      <c r="E35" s="9" t="n"/>
      <c r="F35" s="55">
        <f>기초자료_2024!F22</f>
        <v/>
      </c>
      <c r="G35" s="55">
        <f>기초자료_2025!F22</f>
        <v/>
      </c>
      <c r="H35" s="56">
        <f>G35</f>
        <v/>
      </c>
      <c r="I35" s="56">
        <f>H35</f>
        <v/>
      </c>
      <c r="J35" s="56">
        <f>I35</f>
        <v/>
      </c>
      <c r="K35" s="56">
        <f>J35</f>
        <v/>
      </c>
      <c r="L35" s="56">
        <f>K35</f>
        <v/>
      </c>
    </row>
    <row r="36">
      <c r="A36" s="31" t="inlineStr">
        <is>
          <t>본교(천안) 대학원 소계</t>
        </is>
      </c>
      <c r="B36" s="8" t="n"/>
      <c r="C36" s="8" t="n"/>
      <c r="D36" s="8" t="n"/>
      <c r="E36" s="9" t="n"/>
      <c r="F36" s="34">
        <f>SUM(F32:F35)</f>
        <v/>
      </c>
      <c r="G36" s="34">
        <f>SUM(G32:G35)</f>
        <v/>
      </c>
      <c r="H36" s="34">
        <f>SUM(H32:H35)</f>
        <v/>
      </c>
      <c r="I36" s="34">
        <f>SUM(I32:I35)</f>
        <v/>
      </c>
      <c r="J36" s="34">
        <f>SUM(J32:J35)</f>
        <v/>
      </c>
      <c r="K36" s="34">
        <f>SUM(K32:K35)</f>
        <v/>
      </c>
      <c r="L36" s="34">
        <f>SUM(L32:L35)</f>
        <v/>
      </c>
    </row>
    <row r="37">
      <c r="A37" s="53" t="inlineStr">
        <is>
          <t>서울캠퍼스</t>
        </is>
      </c>
      <c r="B37" s="53" t="inlineStr">
        <is>
          <t>대학원</t>
        </is>
      </c>
      <c r="C37" s="53" t="inlineStr">
        <is>
          <t>인문사회</t>
        </is>
      </c>
      <c r="D37" s="54" t="n">
        <v>12</v>
      </c>
      <c r="E37" s="9" t="n"/>
      <c r="F37" s="55">
        <f>기초자료_2024!C23</f>
        <v/>
      </c>
      <c r="G37" s="55">
        <f>기초자료_2025!C23</f>
        <v/>
      </c>
      <c r="H37" s="56">
        <f>G37</f>
        <v/>
      </c>
      <c r="I37" s="56">
        <f>H37</f>
        <v/>
      </c>
      <c r="J37" s="56">
        <f>I37</f>
        <v/>
      </c>
      <c r="K37" s="56">
        <f>J37</f>
        <v/>
      </c>
      <c r="L37" s="56">
        <f>K37</f>
        <v/>
      </c>
    </row>
    <row r="38">
      <c r="A38" s="57" t="n"/>
      <c r="B38" s="57" t="n"/>
      <c r="C38" s="53" t="inlineStr">
        <is>
          <t>자연과학</t>
        </is>
      </c>
      <c r="D38" s="54" t="n">
        <v>14</v>
      </c>
      <c r="E38" s="9" t="n"/>
      <c r="F38" s="55">
        <f>기초자료_2024!D23</f>
        <v/>
      </c>
      <c r="G38" s="55">
        <f>기초자료_2025!D23</f>
        <v/>
      </c>
      <c r="H38" s="56">
        <f>G38</f>
        <v/>
      </c>
      <c r="I38" s="56">
        <f>H38</f>
        <v/>
      </c>
      <c r="J38" s="56">
        <f>I38</f>
        <v/>
      </c>
      <c r="K38" s="56">
        <f>J38</f>
        <v/>
      </c>
      <c r="L38" s="56">
        <f>K38</f>
        <v/>
      </c>
    </row>
    <row r="39">
      <c r="A39" s="57" t="n"/>
      <c r="B39" s="57" t="n"/>
      <c r="C39" s="53" t="inlineStr">
        <is>
          <t>공학</t>
        </is>
      </c>
      <c r="D39" s="54" t="n">
        <v>14</v>
      </c>
      <c r="E39" s="9" t="n"/>
      <c r="F39" s="55">
        <f>기초자료_2024!E23</f>
        <v/>
      </c>
      <c r="G39" s="55">
        <f>기초자료_2025!E23</f>
        <v/>
      </c>
      <c r="H39" s="56">
        <f>G39</f>
        <v/>
      </c>
      <c r="I39" s="56">
        <f>H39</f>
        <v/>
      </c>
      <c r="J39" s="56">
        <f>I39</f>
        <v/>
      </c>
      <c r="K39" s="56">
        <f>J39</f>
        <v/>
      </c>
      <c r="L39" s="56">
        <f>K39</f>
        <v/>
      </c>
    </row>
    <row r="40">
      <c r="A40" s="58" t="n"/>
      <c r="B40" s="58" t="n"/>
      <c r="C40" s="53" t="inlineStr">
        <is>
          <t>예체능</t>
        </is>
      </c>
      <c r="D40" s="54" t="n">
        <v>14</v>
      </c>
      <c r="E40" s="9" t="n"/>
      <c r="F40" s="55">
        <f>기초자료_2024!F23</f>
        <v/>
      </c>
      <c r="G40" s="55">
        <f>기초자료_2025!F23</f>
        <v/>
      </c>
      <c r="H40" s="56">
        <f>G40</f>
        <v/>
      </c>
      <c r="I40" s="56">
        <f>H40</f>
        <v/>
      </c>
      <c r="J40" s="56">
        <f>I40</f>
        <v/>
      </c>
      <c r="K40" s="56">
        <f>J40</f>
        <v/>
      </c>
      <c r="L40" s="56">
        <f>K40</f>
        <v/>
      </c>
    </row>
    <row r="41">
      <c r="A41" s="31" t="inlineStr">
        <is>
          <t>서울캠퍼스 대학원 소계</t>
        </is>
      </c>
      <c r="B41" s="8" t="n"/>
      <c r="C41" s="8" t="n"/>
      <c r="D41" s="8" t="n"/>
      <c r="E41" s="9" t="n"/>
      <c r="F41" s="34">
        <f>SUM(F37:F40)</f>
        <v/>
      </c>
      <c r="G41" s="34">
        <f>SUM(G37:G40)</f>
        <v/>
      </c>
      <c r="H41" s="34">
        <f>SUM(H37:H40)</f>
        <v/>
      </c>
      <c r="I41" s="34">
        <f>SUM(I37:I40)</f>
        <v/>
      </c>
      <c r="J41" s="34">
        <f>SUM(J37:J40)</f>
        <v/>
      </c>
      <c r="K41" s="34">
        <f>SUM(K37:K40)</f>
        <v/>
      </c>
      <c r="L41" s="34">
        <f>SUM(L37:L40)</f>
        <v/>
      </c>
    </row>
    <row r="42">
      <c r="A42" s="59" t="inlineStr">
        <is>
          <t>합계</t>
        </is>
      </c>
      <c r="B42" s="8" t="n"/>
      <c r="C42" s="8" t="n"/>
      <c r="D42" s="8" t="n"/>
      <c r="E42" s="9" t="n"/>
      <c r="F42" s="60">
        <f>F31+F36+F41</f>
        <v/>
      </c>
      <c r="G42" s="60">
        <f>G31+G36+G41</f>
        <v/>
      </c>
      <c r="H42" s="60">
        <f>H31+H36+H41</f>
        <v/>
      </c>
      <c r="I42" s="60">
        <f>I31+I36+I41</f>
        <v/>
      </c>
      <c r="J42" s="60">
        <f>J31+J36+J41</f>
        <v/>
      </c>
      <c r="K42" s="60">
        <f>K31+K36+K41</f>
        <v/>
      </c>
      <c r="L42" s="60">
        <f>L31+L36+L41</f>
        <v/>
      </c>
    </row>
    <row r="44" ht="22" customHeight="1">
      <c r="A44" s="7" t="inlineStr">
        <is>
          <t>STEP 3.  교사 면적 증감 (㎡) — 신축·철거·용도변경이 있을 때만 입력 (늘면 +, 줄면 −)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 t="n"/>
    </row>
    <row r="45">
      <c r="A45" s="39" t="inlineStr">
        <is>
          <t>그 해 4월 1일 이전에 준공·멸실된 면적을 해당 연도 칸에 입력. 한 번 넣으면 이후 연도에도 계속 반영됩니다. (2024·2025 실적 면적은 기초자료 시트 값 사용)</t>
        </is>
      </c>
    </row>
    <row r="46">
      <c r="A46" s="53" t="inlineStr">
        <is>
          <t>본교(천안)</t>
        </is>
      </c>
      <c r="B46" s="42" t="inlineStr">
        <is>
          <t>기본시설(강의실·실험실·도서관 등)</t>
        </is>
      </c>
      <c r="C46" s="8" t="n"/>
      <c r="D46" s="8" t="n"/>
      <c r="E46" s="9" t="n"/>
      <c r="F46" s="61" t="n">
        <v>0</v>
      </c>
      <c r="G46" s="61" t="n">
        <v>0</v>
      </c>
      <c r="H46" s="62" t="n">
        <v>0</v>
      </c>
      <c r="I46" s="62" t="n">
        <v>0</v>
      </c>
      <c r="J46" s="62" t="n">
        <v>0</v>
      </c>
      <c r="K46" s="62" t="n">
        <v>0</v>
      </c>
      <c r="L46" s="62" t="n">
        <v>0</v>
      </c>
    </row>
    <row r="47">
      <c r="A47" s="57" t="n"/>
      <c r="B47" s="42" t="inlineStr">
        <is>
          <t>지원시설(기숙사·강당 등)</t>
        </is>
      </c>
      <c r="C47" s="8" t="n"/>
      <c r="D47" s="8" t="n"/>
      <c r="E47" s="9" t="n"/>
      <c r="F47" s="61" t="n">
        <v>0</v>
      </c>
      <c r="G47" s="61" t="n">
        <v>0</v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</row>
    <row r="48">
      <c r="A48" s="58" t="n"/>
      <c r="B48" s="42" t="inlineStr">
        <is>
          <t>연구시설</t>
        </is>
      </c>
      <c r="C48" s="8" t="n"/>
      <c r="D48" s="8" t="n"/>
      <c r="E48" s="9" t="n"/>
      <c r="F48" s="61" t="n">
        <v>0</v>
      </c>
      <c r="G48" s="61" t="n">
        <v>0</v>
      </c>
      <c r="H48" s="62" t="n">
        <v>0</v>
      </c>
      <c r="I48" s="62" t="n">
        <v>0</v>
      </c>
      <c r="J48" s="62" t="n">
        <v>0</v>
      </c>
      <c r="K48" s="62" t="n">
        <v>0</v>
      </c>
      <c r="L48" s="62" t="n">
        <v>0</v>
      </c>
    </row>
    <row r="49">
      <c r="A49" s="53" t="inlineStr">
        <is>
          <t>서울캠퍼스</t>
        </is>
      </c>
      <c r="B49" s="42" t="inlineStr">
        <is>
          <t>기본시설(강의실·실험실·도서관 등)</t>
        </is>
      </c>
      <c r="C49" s="8" t="n"/>
      <c r="D49" s="8" t="n"/>
      <c r="E49" s="9" t="n"/>
      <c r="F49" s="61" t="n">
        <v>0</v>
      </c>
      <c r="G49" s="61" t="n">
        <v>0</v>
      </c>
      <c r="H49" s="62" t="n">
        <v>0</v>
      </c>
      <c r="I49" s="62" t="n">
        <v>0</v>
      </c>
      <c r="J49" s="62" t="n">
        <v>0</v>
      </c>
      <c r="K49" s="62" t="n">
        <v>0</v>
      </c>
      <c r="L49" s="62" t="n">
        <v>0</v>
      </c>
    </row>
    <row r="50">
      <c r="A50" s="57" t="n"/>
      <c r="B50" s="42" t="inlineStr">
        <is>
          <t>지원시설(기숙사·강당 등)</t>
        </is>
      </c>
      <c r="C50" s="8" t="n"/>
      <c r="D50" s="8" t="n"/>
      <c r="E50" s="9" t="n"/>
      <c r="F50" s="61" t="n">
        <v>0</v>
      </c>
      <c r="G50" s="61" t="n">
        <v>0</v>
      </c>
      <c r="H50" s="62" t="n">
        <v>0</v>
      </c>
      <c r="I50" s="62" t="n">
        <v>0</v>
      </c>
      <c r="J50" s="62" t="n">
        <v>0</v>
      </c>
      <c r="K50" s="62" t="n">
        <v>0</v>
      </c>
      <c r="L50" s="62" t="n">
        <v>0</v>
      </c>
    </row>
    <row r="51">
      <c r="A51" s="58" t="n"/>
      <c r="B51" s="42" t="inlineStr">
        <is>
          <t>연구시설</t>
        </is>
      </c>
      <c r="C51" s="8" t="n"/>
      <c r="D51" s="8" t="n"/>
      <c r="E51" s="9" t="n"/>
      <c r="F51" s="61" t="n">
        <v>0</v>
      </c>
      <c r="G51" s="61" t="n">
        <v>0</v>
      </c>
      <c r="H51" s="62" t="n">
        <v>0</v>
      </c>
      <c r="I51" s="62" t="n">
        <v>0</v>
      </c>
      <c r="J51" s="62" t="n">
        <v>0</v>
      </c>
      <c r="K51" s="62" t="n">
        <v>0</v>
      </c>
      <c r="L51" s="62" t="n">
        <v>0</v>
      </c>
    </row>
  </sheetData>
  <mergeCells count="61">
    <mergeCell ref="D20:E20"/>
    <mergeCell ref="A7:L7"/>
    <mergeCell ref="D10:E10"/>
    <mergeCell ref="A25:L25"/>
    <mergeCell ref="B49:E49"/>
    <mergeCell ref="D19:E19"/>
    <mergeCell ref="D34:E34"/>
    <mergeCell ref="B18:B21"/>
    <mergeCell ref="A36:E36"/>
    <mergeCell ref="D40:E40"/>
    <mergeCell ref="B51:E51"/>
    <mergeCell ref="B27:B30"/>
    <mergeCell ref="D21:E21"/>
    <mergeCell ref="A26:L26"/>
    <mergeCell ref="A2:L2"/>
    <mergeCell ref="B50:E50"/>
    <mergeCell ref="B8:B11"/>
    <mergeCell ref="D11:E11"/>
    <mergeCell ref="D13:E13"/>
    <mergeCell ref="D27:E27"/>
    <mergeCell ref="A41:E41"/>
    <mergeCell ref="D32:E32"/>
    <mergeCell ref="B47:E47"/>
    <mergeCell ref="A37:A40"/>
    <mergeCell ref="A49:A51"/>
    <mergeCell ref="B46:E46"/>
    <mergeCell ref="A18:A21"/>
    <mergeCell ref="B13:B16"/>
    <mergeCell ref="A27:A30"/>
    <mergeCell ref="A12:E12"/>
    <mergeCell ref="D16:E16"/>
    <mergeCell ref="A32:A35"/>
    <mergeCell ref="A8:A11"/>
    <mergeCell ref="A42:E42"/>
    <mergeCell ref="D37:E37"/>
    <mergeCell ref="B48:E48"/>
    <mergeCell ref="D28:E28"/>
    <mergeCell ref="B37:B40"/>
    <mergeCell ref="D4:E4"/>
    <mergeCell ref="A23:E23"/>
    <mergeCell ref="A44:L44"/>
    <mergeCell ref="D18:E18"/>
    <mergeCell ref="D9:E9"/>
    <mergeCell ref="A17:E17"/>
    <mergeCell ref="A22:E22"/>
    <mergeCell ref="D39:E39"/>
    <mergeCell ref="D8:E8"/>
    <mergeCell ref="A13:A16"/>
    <mergeCell ref="D30:E30"/>
    <mergeCell ref="D15:E15"/>
    <mergeCell ref="D33:E33"/>
    <mergeCell ref="D29:E29"/>
    <mergeCell ref="A1:L1"/>
    <mergeCell ref="A45:L45"/>
    <mergeCell ref="D38:E38"/>
    <mergeCell ref="D14:E14"/>
    <mergeCell ref="A6:L6"/>
    <mergeCell ref="A46:A48"/>
    <mergeCell ref="A31:E31"/>
    <mergeCell ref="B32:B35"/>
    <mergeCell ref="D35:E35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1" customWidth="1" min="8" max="8"/>
    <col width="13" customWidth="1" min="9" max="9"/>
    <col width="13" customWidth="1" min="10" max="10"/>
    <col width="15" customWidth="1" min="11" max="11"/>
    <col width="15" customWidth="1" min="12" max="12"/>
    <col hidden="1" width="6" customWidth="1" min="14" max="14"/>
  </cols>
  <sheetData>
    <row r="1" ht="30" customHeight="1">
      <c r="A1" s="1" t="inlineStr">
        <is>
          <t>결과요약 · 교사(校舍)시설 확보율 예측 (백석대학교 본교 = 천안 + 서울, 정보공시 기준)</t>
        </is>
      </c>
    </row>
    <row r="3">
      <c r="A3" s="63" t="inlineStr">
        <is>
          <t>조회 연도 ▶</t>
        </is>
      </c>
      <c r="B3" s="64" t="n">
        <v>2027</v>
      </c>
      <c r="C3" s="39" t="inlineStr">
        <is>
          <t>← 칸을 눌러 연도를 고르세요</t>
        </is>
      </c>
    </row>
    <row r="5">
      <c r="A5" s="65" t="inlineStr">
        <is>
          <t>재학생기준 확보율</t>
        </is>
      </c>
      <c r="B5" s="8" t="n"/>
      <c r="C5" s="9" t="n"/>
      <c r="D5" s="65" t="inlineStr">
        <is>
          <t>입학정원기준 확보율</t>
        </is>
      </c>
      <c r="E5" s="8" t="n"/>
      <c r="F5" s="9" t="n"/>
      <c r="G5" s="65" t="inlineStr">
        <is>
          <t>여유 면적(㎡)</t>
        </is>
      </c>
      <c r="H5" s="8" t="n"/>
      <c r="I5" s="9" t="n"/>
      <c r="J5" s="65" t="inlineStr">
        <is>
          <t>판정</t>
        </is>
      </c>
      <c r="K5" s="8" t="n"/>
      <c r="L5" s="9" t="n"/>
    </row>
    <row r="6" ht="26" customHeight="1">
      <c r="A6" s="17">
        <f>INDEX($F$17:$F$23,MATCH($B$3,$A$17:$A$23,0))</f>
        <v/>
      </c>
      <c r="B6" s="14" t="n"/>
      <c r="C6" s="15" t="n"/>
      <c r="D6" s="17">
        <f>INDEX($G$17:$G$23,MATCH($B$3,$A$17:$A$23,0))</f>
        <v/>
      </c>
      <c r="E6" s="14" t="n"/>
      <c r="F6" s="15" t="n"/>
      <c r="G6" s="66">
        <f>INDEX($J$17:$J$23,MATCH($B$3,$A$17:$A$23,0))</f>
        <v/>
      </c>
      <c r="H6" s="14" t="n"/>
      <c r="I6" s="15" t="n"/>
      <c r="J6" s="18">
        <f>INDEX($I$17:$I$23,MATCH($B$3,$A$17:$A$23,0))</f>
        <v/>
      </c>
      <c r="K6" s="14" t="n"/>
      <c r="L6" s="15" t="n"/>
    </row>
    <row r="7" ht="20" customHeight="1">
      <c r="A7" s="19" t="n"/>
      <c r="B7" s="20" t="n"/>
      <c r="C7" s="21" t="n"/>
      <c r="D7" s="19" t="n"/>
      <c r="E7" s="20" t="n"/>
      <c r="F7" s="21" t="n"/>
      <c r="G7" s="19" t="n"/>
      <c r="H7" s="20" t="n"/>
      <c r="I7" s="21" t="n"/>
      <c r="J7" s="19" t="n"/>
      <c r="K7" s="20" t="n"/>
      <c r="L7" s="21" t="n"/>
    </row>
    <row r="9" ht="20" customHeight="1">
      <c r="A9" s="67">
        <f>$B$3&amp;"년 재학생은 "&amp;TEXT(INDEX($B$17:$B$23,MATCH($B$3,$A$17:$A$23,0)),"#,##0")&amp;"명으로, 재학생기준 교사확보율은 "&amp;TEXT(INDEX($F$17:$F$23,MATCH($B$3,$A$17:$A$23,0)),"0.0")&amp;"%입니다. "&amp;IF(INDEX($J$17:$J$23,MATCH($B$3,$A$17:$A$23,0))&gt;=0,"법정 기준(100%)보다 "&amp;TEXT(INDEX($J$17:$J$23,MATCH($B$3,$A$17:$A$23,0)),"#,##0")&amp;"㎡ 여유가 있습니다.","법정 기준(100%)에 "&amp;TEXT(-INDEX($J$17:$J$23,MATCH($B$3,$A$17:$A$23,0)),"#,##0")&amp;"㎡ 부족합니다.")</f>
        <v/>
      </c>
    </row>
    <row r="10" ht="20" customHeight="1">
      <c r="A10" s="68">
        <f>"→ 이 상태에서 재학생이 100명 늘면 확보율이 약 "&amp;TEXT(INDEX($F$17:$F$23,MATCH($B$3,$A$17:$A$23,0))-INDEX($E$17:$E$23,MATCH($B$3,$A$17:$A$23,0))/(INDEX($C$17:$C$23,MATCH($B$3,$A$17:$A$23,0))+1200)*100,"0.0")&amp;"%p(인문사회) ~ "&amp;TEXT(INDEX($F$17:$F$23,MATCH($B$3,$A$17:$A$23,0))-INDEX($E$17:$E$23,MATCH($B$3,$A$17:$A$23,0))/(INDEX($C$17:$C$23,MATCH($B$3,$A$17:$A$23,0))+1400)*100,"0.0")&amp;"%p(자연·공학·예체능) 내려갑니다."</f>
        <v/>
      </c>
    </row>
    <row r="11" ht="20" customHeight="1">
      <c r="A11" s="68">
        <f>"→ 확보율 100%를 지키면서 더 받을 수 있는 재학생은 인문사회 기준 약 "&amp;TEXT(INDEX($K$17:$K$23,MATCH($B$3,$A$17:$A$23,0)),"#,##0")&amp;"명, 자연·공학·예체능 기준 약 "&amp;TEXT(INDEX($L$17:$L$23,MATCH($B$3,$A$17:$A$23,0)),"#,##0")&amp;"명입니다."</f>
        <v/>
      </c>
    </row>
    <row r="15" ht="22" customHeight="1">
      <c r="A15" s="7" t="inlineStr">
        <is>
          <t>연도별 한눈에 보기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 t="n"/>
    </row>
    <row r="16" ht="42" customHeight="1">
      <c r="A16" s="24" t="inlineStr">
        <is>
          <t>연도</t>
        </is>
      </c>
      <c r="B16" s="24" t="inlineStr">
        <is>
          <t>재학생 수
(명)</t>
        </is>
      </c>
      <c r="C16" s="24" t="inlineStr">
        <is>
          <t>재학생
기준면적(B)</t>
        </is>
      </c>
      <c r="D16" s="24" t="inlineStr">
        <is>
          <t>입학정원
기준면적(A)</t>
        </is>
      </c>
      <c r="E16" s="24" t="inlineStr">
        <is>
          <t>교사 인정면적
(C+D+E)</t>
        </is>
      </c>
      <c r="F16" s="24" t="inlineStr">
        <is>
          <t>재학생기준
확보율</t>
        </is>
      </c>
      <c r="G16" s="24" t="inlineStr">
        <is>
          <t>입학정원기준
확보율</t>
        </is>
      </c>
      <c r="H16" s="24" t="inlineStr">
        <is>
          <t>전년 대비
(재학생기준)</t>
        </is>
      </c>
      <c r="I16" s="24" t="inlineStr">
        <is>
          <t>판정</t>
        </is>
      </c>
      <c r="J16" s="24" t="inlineStr">
        <is>
          <t>여유 면적
(인정면적−B)</t>
        </is>
      </c>
      <c r="K16" s="24" t="inlineStr">
        <is>
          <t>추가로 받을 수 있는
재학생(인문사회)</t>
        </is>
      </c>
      <c r="L16" s="24" t="inlineStr">
        <is>
          <t>추가로 받을 수 있는
재학생(자연·공·예체능)</t>
        </is>
      </c>
      <c r="N16" s="4" t="inlineStr">
        <is>
          <t>기준선</t>
        </is>
      </c>
    </row>
    <row r="17">
      <c r="A17" s="69" t="n">
        <v>2024</v>
      </c>
      <c r="B17" s="29">
        <f>입력!F23</f>
        <v/>
      </c>
      <c r="C17" s="29">
        <f>SUMPRODUCT(입력!$D$8:$D$11,입력!F8:F11)+SUMPRODUCT(입력!$D$13:$D$16,입력!F13:F16)+SUMPRODUCT(입력!$D$18:$D$21,입력!F18:F21)</f>
        <v/>
      </c>
      <c r="D17" s="29">
        <f>SUMPRODUCT(입력!$D$27:$D$30,입력!F27:F30)+SUMPRODUCT(입력!$D$32:$D$35,입력!F32:F35)+SUMPRODUCT(입력!$D$37:$D$40,입력!F37:F40)</f>
        <v/>
      </c>
      <c r="E17" s="29">
        <f>기초자료_2024!$E$16</f>
        <v/>
      </c>
      <c r="F17" s="37">
        <f>IF(C17=0,0,E17/C17*100)</f>
        <v/>
      </c>
      <c r="G17" s="70">
        <f>IF(D17=0,0,E17/D17*100)</f>
        <v/>
      </c>
      <c r="H17" s="38" t="inlineStr">
        <is>
          <t>-</t>
        </is>
      </c>
      <c r="I17" s="25">
        <f>IF(MIN(F17,G17)&lt;100,"미달",IF(MIN(F17,G17)&lt;사용안내!$C$27,"주의","적정"))</f>
        <v/>
      </c>
      <c r="J17" s="29">
        <f>E17-C17</f>
        <v/>
      </c>
      <c r="K17" s="71">
        <f>IF(J17&lt;0,0,ROUNDDOWN(J17/12,0))</f>
        <v/>
      </c>
      <c r="L17" s="71">
        <f>IF(J17&lt;0,0,ROUNDDOWN(J17/14,0))</f>
        <v/>
      </c>
      <c r="N17" s="72" t="n">
        <v>100</v>
      </c>
    </row>
    <row r="18">
      <c r="A18" s="69" t="n">
        <v>2025</v>
      </c>
      <c r="B18" s="29">
        <f>입력!G23</f>
        <v/>
      </c>
      <c r="C18" s="29">
        <f>SUMPRODUCT(입력!$D$8:$D$11,입력!G8:G11)+SUMPRODUCT(입력!$D$13:$D$16,입력!G13:G16)+SUMPRODUCT(입력!$D$18:$D$21,입력!G18:G21)</f>
        <v/>
      </c>
      <c r="D18" s="29">
        <f>SUMPRODUCT(입력!$D$27:$D$30,입력!G27:G30)+SUMPRODUCT(입력!$D$32:$D$35,입력!G32:G35)+SUMPRODUCT(입력!$D$37:$D$40,입력!G37:G40)</f>
        <v/>
      </c>
      <c r="E18" s="29">
        <f>기초자료_2025!$E$16+SUM(입력!$G$46:G51)</f>
        <v/>
      </c>
      <c r="F18" s="37">
        <f>IF(C18=0,0,E18/C18*100)</f>
        <v/>
      </c>
      <c r="G18" s="70">
        <f>IF(D18=0,0,E18/D18*100)</f>
        <v/>
      </c>
      <c r="H18" s="38">
        <f>F18-F17</f>
        <v/>
      </c>
      <c r="I18" s="25">
        <f>IF(MIN(F18,G18)&lt;100,"미달",IF(MIN(F18,G18)&lt;사용안내!$C$27,"주의","적정"))</f>
        <v/>
      </c>
      <c r="J18" s="29">
        <f>E18-C18</f>
        <v/>
      </c>
      <c r="K18" s="71">
        <f>IF(J18&lt;0,0,ROUNDDOWN(J18/12,0))</f>
        <v/>
      </c>
      <c r="L18" s="71">
        <f>IF(J18&lt;0,0,ROUNDDOWN(J18/14,0))</f>
        <v/>
      </c>
      <c r="N18" s="72" t="n">
        <v>100</v>
      </c>
    </row>
    <row r="19">
      <c r="A19" s="69" t="n">
        <v>2026</v>
      </c>
      <c r="B19" s="29">
        <f>입력!H23</f>
        <v/>
      </c>
      <c r="C19" s="29">
        <f>SUMPRODUCT(입력!$D$8:$D$11,입력!H8:H11)+SUMPRODUCT(입력!$D$13:$D$16,입력!H13:H16)+SUMPRODUCT(입력!$D$18:$D$21,입력!H18:H21)</f>
        <v/>
      </c>
      <c r="D19" s="29">
        <f>SUMPRODUCT(입력!$D$27:$D$30,입력!H27:H30)+SUMPRODUCT(입력!$D$32:$D$35,입력!H32:H35)+SUMPRODUCT(입력!$D$37:$D$40,입력!H37:H40)</f>
        <v/>
      </c>
      <c r="E19" s="29">
        <f>기초자료_2025!$E$16+SUM(입력!$G$46:H51)</f>
        <v/>
      </c>
      <c r="F19" s="37">
        <f>IF(C19=0,0,E19/C19*100)</f>
        <v/>
      </c>
      <c r="G19" s="70">
        <f>IF(D19=0,0,E19/D19*100)</f>
        <v/>
      </c>
      <c r="H19" s="38">
        <f>F19-F18</f>
        <v/>
      </c>
      <c r="I19" s="25">
        <f>IF(MIN(F19,G19)&lt;100,"미달",IF(MIN(F19,G19)&lt;사용안내!$C$27,"주의","적정"))</f>
        <v/>
      </c>
      <c r="J19" s="29">
        <f>E19-C19</f>
        <v/>
      </c>
      <c r="K19" s="71">
        <f>IF(J19&lt;0,0,ROUNDDOWN(J19/12,0))</f>
        <v/>
      </c>
      <c r="L19" s="71">
        <f>IF(J19&lt;0,0,ROUNDDOWN(J19/14,0))</f>
        <v/>
      </c>
      <c r="N19" s="72" t="n">
        <v>100</v>
      </c>
    </row>
    <row r="20">
      <c r="A20" s="69" t="n">
        <v>2027</v>
      </c>
      <c r="B20" s="29">
        <f>입력!I23</f>
        <v/>
      </c>
      <c r="C20" s="29">
        <f>SUMPRODUCT(입력!$D$8:$D$11,입력!I8:I11)+SUMPRODUCT(입력!$D$13:$D$16,입력!I13:I16)+SUMPRODUCT(입력!$D$18:$D$21,입력!I18:I21)</f>
        <v/>
      </c>
      <c r="D20" s="29">
        <f>SUMPRODUCT(입력!$D$27:$D$30,입력!I27:I30)+SUMPRODUCT(입력!$D$32:$D$35,입력!I32:I35)+SUMPRODUCT(입력!$D$37:$D$40,입력!I37:I40)</f>
        <v/>
      </c>
      <c r="E20" s="29">
        <f>기초자료_2025!$E$16+SUM(입력!$G$46:I51)</f>
        <v/>
      </c>
      <c r="F20" s="37">
        <f>IF(C20=0,0,E20/C20*100)</f>
        <v/>
      </c>
      <c r="G20" s="70">
        <f>IF(D20=0,0,E20/D20*100)</f>
        <v/>
      </c>
      <c r="H20" s="38">
        <f>F20-F19</f>
        <v/>
      </c>
      <c r="I20" s="25">
        <f>IF(MIN(F20,G20)&lt;100,"미달",IF(MIN(F20,G20)&lt;사용안내!$C$27,"주의","적정"))</f>
        <v/>
      </c>
      <c r="J20" s="29">
        <f>E20-C20</f>
        <v/>
      </c>
      <c r="K20" s="71">
        <f>IF(J20&lt;0,0,ROUNDDOWN(J20/12,0))</f>
        <v/>
      </c>
      <c r="L20" s="71">
        <f>IF(J20&lt;0,0,ROUNDDOWN(J20/14,0))</f>
        <v/>
      </c>
      <c r="N20" s="72" t="n">
        <v>100</v>
      </c>
    </row>
    <row r="21">
      <c r="A21" s="69" t="n">
        <v>2028</v>
      </c>
      <c r="B21" s="29">
        <f>입력!J23</f>
        <v/>
      </c>
      <c r="C21" s="29">
        <f>SUMPRODUCT(입력!$D$8:$D$11,입력!J8:J11)+SUMPRODUCT(입력!$D$13:$D$16,입력!J13:J16)+SUMPRODUCT(입력!$D$18:$D$21,입력!J18:J21)</f>
        <v/>
      </c>
      <c r="D21" s="29">
        <f>SUMPRODUCT(입력!$D$27:$D$30,입력!J27:J30)+SUMPRODUCT(입력!$D$32:$D$35,입력!J32:J35)+SUMPRODUCT(입력!$D$37:$D$40,입력!J37:J40)</f>
        <v/>
      </c>
      <c r="E21" s="29">
        <f>기초자료_2025!$E$16+SUM(입력!$G$46:J51)</f>
        <v/>
      </c>
      <c r="F21" s="37">
        <f>IF(C21=0,0,E21/C21*100)</f>
        <v/>
      </c>
      <c r="G21" s="70">
        <f>IF(D21=0,0,E21/D21*100)</f>
        <v/>
      </c>
      <c r="H21" s="38">
        <f>F21-F20</f>
        <v/>
      </c>
      <c r="I21" s="25">
        <f>IF(MIN(F21,G21)&lt;100,"미달",IF(MIN(F21,G21)&lt;사용안내!$C$27,"주의","적정"))</f>
        <v/>
      </c>
      <c r="J21" s="29">
        <f>E21-C21</f>
        <v/>
      </c>
      <c r="K21" s="71">
        <f>IF(J21&lt;0,0,ROUNDDOWN(J21/12,0))</f>
        <v/>
      </c>
      <c r="L21" s="71">
        <f>IF(J21&lt;0,0,ROUNDDOWN(J21/14,0))</f>
        <v/>
      </c>
      <c r="N21" s="72" t="n">
        <v>100</v>
      </c>
    </row>
    <row r="22">
      <c r="A22" s="69" t="n">
        <v>2029</v>
      </c>
      <c r="B22" s="29">
        <f>입력!K23</f>
        <v/>
      </c>
      <c r="C22" s="29">
        <f>SUMPRODUCT(입력!$D$8:$D$11,입력!K8:K11)+SUMPRODUCT(입력!$D$13:$D$16,입력!K13:K16)+SUMPRODUCT(입력!$D$18:$D$21,입력!K18:K21)</f>
        <v/>
      </c>
      <c r="D22" s="29">
        <f>SUMPRODUCT(입력!$D$27:$D$30,입력!K27:K30)+SUMPRODUCT(입력!$D$32:$D$35,입력!K32:K35)+SUMPRODUCT(입력!$D$37:$D$40,입력!K37:K40)</f>
        <v/>
      </c>
      <c r="E22" s="29">
        <f>기초자료_2025!$E$16+SUM(입력!$G$46:K51)</f>
        <v/>
      </c>
      <c r="F22" s="37">
        <f>IF(C22=0,0,E22/C22*100)</f>
        <v/>
      </c>
      <c r="G22" s="70">
        <f>IF(D22=0,0,E22/D22*100)</f>
        <v/>
      </c>
      <c r="H22" s="38">
        <f>F22-F21</f>
        <v/>
      </c>
      <c r="I22" s="25">
        <f>IF(MIN(F22,G22)&lt;100,"미달",IF(MIN(F22,G22)&lt;사용안내!$C$27,"주의","적정"))</f>
        <v/>
      </c>
      <c r="J22" s="29">
        <f>E22-C22</f>
        <v/>
      </c>
      <c r="K22" s="71">
        <f>IF(J22&lt;0,0,ROUNDDOWN(J22/12,0))</f>
        <v/>
      </c>
      <c r="L22" s="71">
        <f>IF(J22&lt;0,0,ROUNDDOWN(J22/14,0))</f>
        <v/>
      </c>
      <c r="N22" s="72" t="n">
        <v>100</v>
      </c>
    </row>
    <row r="23">
      <c r="A23" s="69" t="n">
        <v>2030</v>
      </c>
      <c r="B23" s="29">
        <f>입력!L23</f>
        <v/>
      </c>
      <c r="C23" s="29">
        <f>SUMPRODUCT(입력!$D$8:$D$11,입력!L8:L11)+SUMPRODUCT(입력!$D$13:$D$16,입력!L13:L16)+SUMPRODUCT(입력!$D$18:$D$21,입력!L18:L21)</f>
        <v/>
      </c>
      <c r="D23" s="29">
        <f>SUMPRODUCT(입력!$D$27:$D$30,입력!L27:L30)+SUMPRODUCT(입력!$D$32:$D$35,입력!L32:L35)+SUMPRODUCT(입력!$D$37:$D$40,입력!L37:L40)</f>
        <v/>
      </c>
      <c r="E23" s="29">
        <f>기초자료_2025!$E$16+SUM(입력!$G$46:L51)</f>
        <v/>
      </c>
      <c r="F23" s="37">
        <f>IF(C23=0,0,E23/C23*100)</f>
        <v/>
      </c>
      <c r="G23" s="70">
        <f>IF(D23=0,0,E23/D23*100)</f>
        <v/>
      </c>
      <c r="H23" s="38">
        <f>F23-F22</f>
        <v/>
      </c>
      <c r="I23" s="25">
        <f>IF(MIN(F23,G23)&lt;100,"미달",IF(MIN(F23,G23)&lt;사용안내!$C$27,"주의","적정"))</f>
        <v/>
      </c>
      <c r="J23" s="29">
        <f>E23-C23</f>
        <v/>
      </c>
      <c r="K23" s="71">
        <f>IF(J23&lt;0,0,ROUNDDOWN(J23/12,0))</f>
        <v/>
      </c>
      <c r="L23" s="71">
        <f>IF(J23&lt;0,0,ROUNDDOWN(J23/14,0))</f>
        <v/>
      </c>
      <c r="N23" s="72" t="n">
        <v>100</v>
      </c>
    </row>
    <row r="24" ht="28" customHeight="1">
      <c r="A24" s="5" t="inlineStr">
        <is>
          <t>※ 2024·2025는 실제 공시값과 같습니다(2024 재학생기준 134.7%·입학정원기준 142.4% / 2025 132%·141%).  판정: 100% 미만 = 미달, 100% 이상 ~ '주의 기준' 미만 = 주의(주의 기준은 사용안내 시트에서 변경)</t>
        </is>
      </c>
    </row>
    <row r="26" ht="22" customHeight="1">
      <c r="A26" s="7" t="inlineStr">
        <is>
          <t>정보공시 14-라 양식 미리보기 (단위: ㎡, %)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 t="n"/>
    </row>
    <row r="27" ht="42" customHeight="1">
      <c r="A27" s="24" t="inlineStr">
        <is>
          <t>기준연도</t>
        </is>
      </c>
      <c r="B27" s="24" t="inlineStr">
        <is>
          <t>입학정원 기준
(A)</t>
        </is>
      </c>
      <c r="C27" s="24" t="inlineStr">
        <is>
          <t>재학생 기준
(B)</t>
        </is>
      </c>
      <c r="D27" s="24" t="inlineStr">
        <is>
          <t>기본시설
(C)</t>
        </is>
      </c>
      <c r="E27" s="24" t="inlineStr">
        <is>
          <t>지원시설
(D)</t>
        </is>
      </c>
      <c r="F27" s="24" t="inlineStr">
        <is>
          <t>연구시설
(E)</t>
        </is>
      </c>
      <c r="G27" s="24" t="inlineStr">
        <is>
          <t>부속시설</t>
        </is>
      </c>
      <c r="H27" s="24" t="inlineStr">
        <is>
          <t>기타시설</t>
        </is>
      </c>
      <c r="I27" s="24" t="inlineStr">
        <is>
          <t>입학정원기준
(C+D+E)/A×100</t>
        </is>
      </c>
      <c r="J27" s="24" t="inlineStr">
        <is>
          <t>재학생기준
(C+D+E)/B×100</t>
        </is>
      </c>
    </row>
    <row r="28">
      <c r="A28" s="69" t="n">
        <v>2024</v>
      </c>
      <c r="B28" s="29">
        <f>ROUND(D17,0)</f>
        <v/>
      </c>
      <c r="C28" s="29">
        <f>ROUND(C17,0)</f>
        <v/>
      </c>
      <c r="D28" s="29">
        <f>ROUND(기초자료_2024!$B$16,0)</f>
        <v/>
      </c>
      <c r="E28" s="29">
        <f>ROUND(기초자료_2024!$C$16,0)</f>
        <v/>
      </c>
      <c r="F28" s="29">
        <f>ROUND(기초자료_2024!$D$16,0)</f>
        <v/>
      </c>
      <c r="G28" s="29">
        <f>ROUND(기초자료_2024!$F$6+기초자료_2024!$F$9,0)</f>
        <v/>
      </c>
      <c r="H28" s="29">
        <f>ROUND(기초자료_2024!$G$6+기초자료_2024!$G$9,0)</f>
        <v/>
      </c>
      <c r="I28" s="73">
        <f>ROUND(G17,1)</f>
        <v/>
      </c>
      <c r="J28" s="73">
        <f>ROUND(F17,1)</f>
        <v/>
      </c>
    </row>
    <row r="29">
      <c r="A29" s="69" t="n">
        <v>2025</v>
      </c>
      <c r="B29" s="29">
        <f>ROUND(D18,0)</f>
        <v/>
      </c>
      <c r="C29" s="29">
        <f>ROUND(C18,0)</f>
        <v/>
      </c>
      <c r="D29" s="29">
        <f>ROUND(기초자료_2025!$B$16+SUM(입력!$G$46:G46)+SUM(입력!$G$49:G49),0)</f>
        <v/>
      </c>
      <c r="E29" s="29">
        <f>ROUND(기초자료_2025!$C$16+SUM(입력!$G$47:G47)+SUM(입력!$G$50:G50),0)</f>
        <v/>
      </c>
      <c r="F29" s="29">
        <f>ROUND(기초자료_2025!$D$16+SUM(입력!$G$48:G48)+SUM(입력!$G$51:G51),0)</f>
        <v/>
      </c>
      <c r="G29" s="29">
        <f>ROUND(기초자료_2025!$F$6+기초자료_2025!$F$9,0)</f>
        <v/>
      </c>
      <c r="H29" s="29">
        <f>ROUND(기초자료_2025!$G$6+기초자료_2025!$G$9,0)</f>
        <v/>
      </c>
      <c r="I29" s="73">
        <f>ROUND(G18,1)</f>
        <v/>
      </c>
      <c r="J29" s="73">
        <f>ROUND(F18,1)</f>
        <v/>
      </c>
    </row>
    <row r="30">
      <c r="A30" s="69" t="n">
        <v>2026</v>
      </c>
      <c r="B30" s="29">
        <f>ROUND(D19,0)</f>
        <v/>
      </c>
      <c r="C30" s="29">
        <f>ROUND(C19,0)</f>
        <v/>
      </c>
      <c r="D30" s="29">
        <f>ROUND(기초자료_2025!$B$16+SUM(입력!$G$46:H46)+SUM(입력!$G$49:H49),0)</f>
        <v/>
      </c>
      <c r="E30" s="29">
        <f>ROUND(기초자료_2025!$C$16+SUM(입력!$G$47:H47)+SUM(입력!$G$50:H50),0)</f>
        <v/>
      </c>
      <c r="F30" s="29">
        <f>ROUND(기초자료_2025!$D$16+SUM(입력!$G$48:H48)+SUM(입력!$G$51:H51),0)</f>
        <v/>
      </c>
      <c r="G30" s="29">
        <f>ROUND(기초자료_2025!$F$6+기초자료_2025!$F$9,0)</f>
        <v/>
      </c>
      <c r="H30" s="29">
        <f>ROUND(기초자료_2025!$G$6+기초자료_2025!$G$9,0)</f>
        <v/>
      </c>
      <c r="I30" s="73">
        <f>ROUND(G19,1)</f>
        <v/>
      </c>
      <c r="J30" s="73">
        <f>ROUND(F19,1)</f>
        <v/>
      </c>
    </row>
    <row r="31">
      <c r="A31" s="69" t="n">
        <v>2027</v>
      </c>
      <c r="B31" s="29">
        <f>ROUND(D20,0)</f>
        <v/>
      </c>
      <c r="C31" s="29">
        <f>ROUND(C20,0)</f>
        <v/>
      </c>
      <c r="D31" s="29">
        <f>ROUND(기초자료_2025!$B$16+SUM(입력!$G$46:I46)+SUM(입력!$G$49:I49),0)</f>
        <v/>
      </c>
      <c r="E31" s="29">
        <f>ROUND(기초자료_2025!$C$16+SUM(입력!$G$47:I47)+SUM(입력!$G$50:I50),0)</f>
        <v/>
      </c>
      <c r="F31" s="29">
        <f>ROUND(기초자료_2025!$D$16+SUM(입력!$G$48:I48)+SUM(입력!$G$51:I51),0)</f>
        <v/>
      </c>
      <c r="G31" s="29">
        <f>ROUND(기초자료_2025!$F$6+기초자료_2025!$F$9,0)</f>
        <v/>
      </c>
      <c r="H31" s="29">
        <f>ROUND(기초자료_2025!$G$6+기초자료_2025!$G$9,0)</f>
        <v/>
      </c>
      <c r="I31" s="73">
        <f>ROUND(G20,1)</f>
        <v/>
      </c>
      <c r="J31" s="73">
        <f>ROUND(F20,1)</f>
        <v/>
      </c>
    </row>
    <row r="32">
      <c r="A32" s="69" t="n">
        <v>2028</v>
      </c>
      <c r="B32" s="29">
        <f>ROUND(D21,0)</f>
        <v/>
      </c>
      <c r="C32" s="29">
        <f>ROUND(C21,0)</f>
        <v/>
      </c>
      <c r="D32" s="29">
        <f>ROUND(기초자료_2025!$B$16+SUM(입력!$G$46:J46)+SUM(입력!$G$49:J49),0)</f>
        <v/>
      </c>
      <c r="E32" s="29">
        <f>ROUND(기초자료_2025!$C$16+SUM(입력!$G$47:J47)+SUM(입력!$G$50:J50),0)</f>
        <v/>
      </c>
      <c r="F32" s="29">
        <f>ROUND(기초자료_2025!$D$16+SUM(입력!$G$48:J48)+SUM(입력!$G$51:J51),0)</f>
        <v/>
      </c>
      <c r="G32" s="29">
        <f>ROUND(기초자료_2025!$F$6+기초자료_2025!$F$9,0)</f>
        <v/>
      </c>
      <c r="H32" s="29">
        <f>ROUND(기초자료_2025!$G$6+기초자료_2025!$G$9,0)</f>
        <v/>
      </c>
      <c r="I32" s="73">
        <f>ROUND(G21,1)</f>
        <v/>
      </c>
      <c r="J32" s="73">
        <f>ROUND(F21,1)</f>
        <v/>
      </c>
    </row>
    <row r="33">
      <c r="A33" s="69" t="n">
        <v>2029</v>
      </c>
      <c r="B33" s="29">
        <f>ROUND(D22,0)</f>
        <v/>
      </c>
      <c r="C33" s="29">
        <f>ROUND(C22,0)</f>
        <v/>
      </c>
      <c r="D33" s="29">
        <f>ROUND(기초자료_2025!$B$16+SUM(입력!$G$46:K46)+SUM(입력!$G$49:K49),0)</f>
        <v/>
      </c>
      <c r="E33" s="29">
        <f>ROUND(기초자료_2025!$C$16+SUM(입력!$G$47:K47)+SUM(입력!$G$50:K50),0)</f>
        <v/>
      </c>
      <c r="F33" s="29">
        <f>ROUND(기초자료_2025!$D$16+SUM(입력!$G$48:K48)+SUM(입력!$G$51:K51),0)</f>
        <v/>
      </c>
      <c r="G33" s="29">
        <f>ROUND(기초자료_2025!$F$6+기초자료_2025!$F$9,0)</f>
        <v/>
      </c>
      <c r="H33" s="29">
        <f>ROUND(기초자료_2025!$G$6+기초자료_2025!$G$9,0)</f>
        <v/>
      </c>
      <c r="I33" s="73">
        <f>ROUND(G22,1)</f>
        <v/>
      </c>
      <c r="J33" s="73">
        <f>ROUND(F22,1)</f>
        <v/>
      </c>
    </row>
    <row r="34">
      <c r="A34" s="69" t="n">
        <v>2030</v>
      </c>
      <c r="B34" s="29">
        <f>ROUND(D23,0)</f>
        <v/>
      </c>
      <c r="C34" s="29">
        <f>ROUND(C23,0)</f>
        <v/>
      </c>
      <c r="D34" s="29">
        <f>ROUND(기초자료_2025!$B$16+SUM(입력!$G$46:L46)+SUM(입력!$G$49:L49),0)</f>
        <v/>
      </c>
      <c r="E34" s="29">
        <f>ROUND(기초자료_2025!$C$16+SUM(입력!$G$47:L47)+SUM(입력!$G$50:L50),0)</f>
        <v/>
      </c>
      <c r="F34" s="29">
        <f>ROUND(기초자료_2025!$D$16+SUM(입력!$G$48:L48)+SUM(입력!$G$51:L51),0)</f>
        <v/>
      </c>
      <c r="G34" s="29">
        <f>ROUND(기초자료_2025!$F$6+기초자료_2025!$F$9,0)</f>
        <v/>
      </c>
      <c r="H34" s="29">
        <f>ROUND(기초자료_2025!$G$6+기초자료_2025!$G$9,0)</f>
        <v/>
      </c>
      <c r="I34" s="73">
        <f>ROUND(G23,1)</f>
        <v/>
      </c>
      <c r="J34" s="73">
        <f>ROUND(F23,1)</f>
        <v/>
      </c>
    </row>
    <row r="35">
      <c r="A35" s="5" t="inlineStr">
        <is>
          <t>※ 확보율은 소수 첫째자리로 표시(2024 공시는 소수 첫째자리, 2025 공시는 정수 표기). 부속·기타시설은 확보율과 무관해 2025 이후는 2025 값을 표시. 2024·2025행은 실제 공시값과 일치합니다.</t>
        </is>
      </c>
    </row>
    <row r="37" ht="22" customHeight="1">
      <c r="A37" s="7" t="inlineStr">
        <is>
          <t>캠퍼스별 확보율 (집계표 1-1과 같은 방식)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 t="n"/>
    </row>
    <row r="38" ht="36" customHeight="1">
      <c r="A38" s="24" t="inlineStr">
        <is>
          <t>연도</t>
        </is>
      </c>
      <c r="B38" s="24" t="inlineStr">
        <is>
          <t>천안
재학생기준</t>
        </is>
      </c>
      <c r="C38" s="24" t="inlineStr">
        <is>
          <t>천안
입학정원기준</t>
        </is>
      </c>
      <c r="D38" s="24" t="inlineStr">
        <is>
          <t>서울
재학생기준</t>
        </is>
      </c>
      <c r="E38" s="24" t="inlineStr">
        <is>
          <t>서울
입학정원기준</t>
        </is>
      </c>
      <c r="F38" s="24" t="inlineStr">
        <is>
          <t>천안
인정면적</t>
        </is>
      </c>
      <c r="G38" s="24" t="inlineStr">
        <is>
          <t>서울
인정면적</t>
        </is>
      </c>
    </row>
    <row r="39">
      <c r="A39" s="69" t="n">
        <v>2024</v>
      </c>
      <c r="B39" s="70">
        <f>F39/(SUMPRODUCT(입력!$D$8:$D$11,입력!F8:F11)+SUMPRODUCT(입력!$D$13:$D$16,입력!F13:F16))*100</f>
        <v/>
      </c>
      <c r="C39" s="70">
        <f>F39/(SUMPRODUCT(입력!$D$27:$D$30,입력!F27:F30)+SUMPRODUCT(입력!$D$32:$D$35,입력!F32:F35))*100</f>
        <v/>
      </c>
      <c r="D39" s="70">
        <f>G39/(SUMPRODUCT(입력!$D$18:$D$21,입력!F18:F21))*100</f>
        <v/>
      </c>
      <c r="E39" s="70">
        <f>G39/(SUMPRODUCT(입력!$D$37:$D$40,입력!F37:F40))*100</f>
        <v/>
      </c>
      <c r="F39" s="29">
        <f>기초자료_2024!$E$14</f>
        <v/>
      </c>
      <c r="G39" s="29">
        <f>기초자료_2024!$E$15</f>
        <v/>
      </c>
    </row>
    <row r="40">
      <c r="A40" s="69" t="n">
        <v>2025</v>
      </c>
      <c r="B40" s="70">
        <f>F40/(SUMPRODUCT(입력!$D$8:$D$11,입력!G8:G11)+SUMPRODUCT(입력!$D$13:$D$16,입력!G13:G16))*100</f>
        <v/>
      </c>
      <c r="C40" s="70">
        <f>F40/(SUMPRODUCT(입력!$D$27:$D$30,입력!G27:G30)+SUMPRODUCT(입력!$D$32:$D$35,입력!G32:G35))*100</f>
        <v/>
      </c>
      <c r="D40" s="70">
        <f>G40/(SUMPRODUCT(입력!$D$18:$D$21,입력!G18:G21))*100</f>
        <v/>
      </c>
      <c r="E40" s="70">
        <f>G40/(SUMPRODUCT(입력!$D$37:$D$40,입력!G37:G40))*100</f>
        <v/>
      </c>
      <c r="F40" s="29">
        <f>기초자료_2025!$E$14+SUM(입력!$G$46:G48)</f>
        <v/>
      </c>
      <c r="G40" s="29">
        <f>기초자료_2025!$E$15+SUM(입력!$G$49:G51)</f>
        <v/>
      </c>
    </row>
    <row r="41">
      <c r="A41" s="69" t="n">
        <v>2026</v>
      </c>
      <c r="B41" s="70">
        <f>F41/(SUMPRODUCT(입력!$D$8:$D$11,입력!H8:H11)+SUMPRODUCT(입력!$D$13:$D$16,입력!H13:H16))*100</f>
        <v/>
      </c>
      <c r="C41" s="70">
        <f>F41/(SUMPRODUCT(입력!$D$27:$D$30,입력!H27:H30)+SUMPRODUCT(입력!$D$32:$D$35,입력!H32:H35))*100</f>
        <v/>
      </c>
      <c r="D41" s="70">
        <f>G41/(SUMPRODUCT(입력!$D$18:$D$21,입력!H18:H21))*100</f>
        <v/>
      </c>
      <c r="E41" s="70">
        <f>G41/(SUMPRODUCT(입력!$D$37:$D$40,입력!H37:H40))*100</f>
        <v/>
      </c>
      <c r="F41" s="29">
        <f>기초자료_2025!$E$14+SUM(입력!$G$46:H48)</f>
        <v/>
      </c>
      <c r="G41" s="29">
        <f>기초자료_2025!$E$15+SUM(입력!$G$49:H51)</f>
        <v/>
      </c>
    </row>
    <row r="42">
      <c r="A42" s="69" t="n">
        <v>2027</v>
      </c>
      <c r="B42" s="70">
        <f>F42/(SUMPRODUCT(입력!$D$8:$D$11,입력!I8:I11)+SUMPRODUCT(입력!$D$13:$D$16,입력!I13:I16))*100</f>
        <v/>
      </c>
      <c r="C42" s="70">
        <f>F42/(SUMPRODUCT(입력!$D$27:$D$30,입력!I27:I30)+SUMPRODUCT(입력!$D$32:$D$35,입력!I32:I35))*100</f>
        <v/>
      </c>
      <c r="D42" s="70">
        <f>G42/(SUMPRODUCT(입력!$D$18:$D$21,입력!I18:I21))*100</f>
        <v/>
      </c>
      <c r="E42" s="70">
        <f>G42/(SUMPRODUCT(입력!$D$37:$D$40,입력!I37:I40))*100</f>
        <v/>
      </c>
      <c r="F42" s="29">
        <f>기초자료_2025!$E$14+SUM(입력!$G$46:I48)</f>
        <v/>
      </c>
      <c r="G42" s="29">
        <f>기초자료_2025!$E$15+SUM(입력!$G$49:I51)</f>
        <v/>
      </c>
    </row>
    <row r="43">
      <c r="A43" s="69" t="n">
        <v>2028</v>
      </c>
      <c r="B43" s="70">
        <f>F43/(SUMPRODUCT(입력!$D$8:$D$11,입력!J8:J11)+SUMPRODUCT(입력!$D$13:$D$16,입력!J13:J16))*100</f>
        <v/>
      </c>
      <c r="C43" s="70">
        <f>F43/(SUMPRODUCT(입력!$D$27:$D$30,입력!J27:J30)+SUMPRODUCT(입력!$D$32:$D$35,입력!J32:J35))*100</f>
        <v/>
      </c>
      <c r="D43" s="70">
        <f>G43/(SUMPRODUCT(입력!$D$18:$D$21,입력!J18:J21))*100</f>
        <v/>
      </c>
      <c r="E43" s="70">
        <f>G43/(SUMPRODUCT(입력!$D$37:$D$40,입력!J37:J40))*100</f>
        <v/>
      </c>
      <c r="F43" s="29">
        <f>기초자료_2025!$E$14+SUM(입력!$G$46:J48)</f>
        <v/>
      </c>
      <c r="G43" s="29">
        <f>기초자료_2025!$E$15+SUM(입력!$G$49:J51)</f>
        <v/>
      </c>
    </row>
    <row r="44">
      <c r="A44" s="69" t="n">
        <v>2029</v>
      </c>
      <c r="B44" s="70">
        <f>F44/(SUMPRODUCT(입력!$D$8:$D$11,입력!K8:K11)+SUMPRODUCT(입력!$D$13:$D$16,입력!K13:K16))*100</f>
        <v/>
      </c>
      <c r="C44" s="70">
        <f>F44/(SUMPRODUCT(입력!$D$27:$D$30,입력!K27:K30)+SUMPRODUCT(입력!$D$32:$D$35,입력!K32:K35))*100</f>
        <v/>
      </c>
      <c r="D44" s="70">
        <f>G44/(SUMPRODUCT(입력!$D$18:$D$21,입력!K18:K21))*100</f>
        <v/>
      </c>
      <c r="E44" s="70">
        <f>G44/(SUMPRODUCT(입력!$D$37:$D$40,입력!K37:K40))*100</f>
        <v/>
      </c>
      <c r="F44" s="29">
        <f>기초자료_2025!$E$14+SUM(입력!$G$46:K48)</f>
        <v/>
      </c>
      <c r="G44" s="29">
        <f>기초자료_2025!$E$15+SUM(입력!$G$49:K51)</f>
        <v/>
      </c>
    </row>
    <row r="45">
      <c r="A45" s="69" t="n">
        <v>2030</v>
      </c>
      <c r="B45" s="70">
        <f>F45/(SUMPRODUCT(입력!$D$8:$D$11,입력!L8:L11)+SUMPRODUCT(입력!$D$13:$D$16,입력!L13:L16))*100</f>
        <v/>
      </c>
      <c r="C45" s="70">
        <f>F45/(SUMPRODUCT(입력!$D$27:$D$30,입력!L27:L30)+SUMPRODUCT(입력!$D$32:$D$35,입력!L32:L35))*100</f>
        <v/>
      </c>
      <c r="D45" s="70">
        <f>G45/(SUMPRODUCT(입력!$D$18:$D$21,입력!L18:L21))*100</f>
        <v/>
      </c>
      <c r="E45" s="70">
        <f>G45/(SUMPRODUCT(입력!$D$37:$D$40,입력!L37:L40))*100</f>
        <v/>
      </c>
      <c r="F45" s="29">
        <f>기초자료_2025!$E$14+SUM(입력!$G$46:L48)</f>
        <v/>
      </c>
      <c r="G45" s="29">
        <f>기초자료_2025!$E$15+SUM(입력!$G$49:L51)</f>
        <v/>
      </c>
    </row>
    <row r="48" ht="22" customHeight="1">
      <c r="A48" s="7" t="inlineStr">
        <is>
          <t>2024 → 2025 실적 변화 요인 — 확보율이 왜 바뀌었나?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 t="n"/>
    </row>
    <row r="49" ht="36" customHeight="1">
      <c r="A49" s="24" t="inlineStr">
        <is>
          <t>계열</t>
        </is>
      </c>
      <c r="B49" s="24" t="inlineStr">
        <is>
          <t>1인당
기준면적</t>
        </is>
      </c>
      <c r="C49" s="24" t="inlineStr">
        <is>
          <t>2024
재학생</t>
        </is>
      </c>
      <c r="D49" s="24" t="inlineStr">
        <is>
          <t>2025
재학생</t>
        </is>
      </c>
      <c r="E49" s="24" t="inlineStr">
        <is>
          <t>재학생
증감</t>
        </is>
      </c>
      <c r="F49" s="24" t="inlineStr">
        <is>
          <t>기준면적
변화(㎡)</t>
        </is>
      </c>
      <c r="G49" s="24" t="inlineStr">
        <is>
          <t>확보율
영향(%p)</t>
        </is>
      </c>
      <c r="I49" s="74">
        <f>"▶ 2024 → 2025: 재학생 "&amp;TEXT(E54,"+#,##0;-#,##0;0")&amp;"명, 재학생 기준면적 "&amp;TEXT(F54,"+#,##0;-#,##0;0")&amp;"㎡, 교사 인정면적 "&amp;IF(E55=0,"변동 없음",TEXT(E55,"+#,##0;-#,##0")&amp;"㎡")&amp;" → 재학생기준 확보율 "&amp;TEXT(F17,"0.0")&amp;"% → "&amp;TEXT(F18,"0.0")&amp;"% ("&amp;TEXT(G54,"+0.0;-0.0;0.0")&amp;"%p). 입학정원기준은 "&amp;TEXT(G17,"0.0")&amp;"% → "&amp;TEXT(G18,"0.0")&amp;"%."</f>
        <v/>
      </c>
      <c r="J49" s="14" t="n"/>
      <c r="K49" s="14" t="n"/>
      <c r="L49" s="15" t="n"/>
    </row>
    <row r="50">
      <c r="A50" s="53" t="inlineStr">
        <is>
          <t>인문사회</t>
        </is>
      </c>
      <c r="B50" s="26" t="n">
        <v>12</v>
      </c>
      <c r="C50" s="29">
        <f>입력!F8+입력!F13+입력!F18</f>
        <v/>
      </c>
      <c r="D50" s="29">
        <f>입력!G8+입력!G13+입력!G18</f>
        <v/>
      </c>
      <c r="E50" s="75">
        <f>D50-C50</f>
        <v/>
      </c>
      <c r="F50" s="76">
        <f>E50*B50</f>
        <v/>
      </c>
      <c r="G50" s="38">
        <f>IF(F50=0,0,$E$18/($C$17+F50)*100-$F$17)</f>
        <v/>
      </c>
      <c r="I50" s="77" t="n"/>
      <c r="L50" s="78" t="n"/>
    </row>
    <row r="51">
      <c r="A51" s="53" t="inlineStr">
        <is>
          <t>자연과학</t>
        </is>
      </c>
      <c r="B51" s="26" t="n">
        <v>14</v>
      </c>
      <c r="C51" s="29">
        <f>입력!F9+입력!F14+입력!F19</f>
        <v/>
      </c>
      <c r="D51" s="29">
        <f>입력!G9+입력!G14+입력!G19</f>
        <v/>
      </c>
      <c r="E51" s="75">
        <f>D51-C51</f>
        <v/>
      </c>
      <c r="F51" s="76">
        <f>E51*B51</f>
        <v/>
      </c>
      <c r="G51" s="38">
        <f>IF(F51=0,0,$E$18/($C$17+F51)*100-$F$17)</f>
        <v/>
      </c>
      <c r="I51" s="77" t="n"/>
      <c r="L51" s="78" t="n"/>
    </row>
    <row r="52">
      <c r="A52" s="53" t="inlineStr">
        <is>
          <t>공학</t>
        </is>
      </c>
      <c r="B52" s="26" t="n">
        <v>14</v>
      </c>
      <c r="C52" s="29">
        <f>입력!F10+입력!F15+입력!F20</f>
        <v/>
      </c>
      <c r="D52" s="29">
        <f>입력!G10+입력!G15+입력!G20</f>
        <v/>
      </c>
      <c r="E52" s="75">
        <f>D52-C52</f>
        <v/>
      </c>
      <c r="F52" s="76">
        <f>E52*B52</f>
        <v/>
      </c>
      <c r="G52" s="38">
        <f>IF(F52=0,0,$E$18/($C$17+F52)*100-$F$17)</f>
        <v/>
      </c>
      <c r="I52" s="77" t="n"/>
      <c r="L52" s="78" t="n"/>
    </row>
    <row r="53">
      <c r="A53" s="53" t="inlineStr">
        <is>
          <t>예체능</t>
        </is>
      </c>
      <c r="B53" s="26" t="n">
        <v>14</v>
      </c>
      <c r="C53" s="29">
        <f>입력!F11+입력!F16+입력!F21</f>
        <v/>
      </c>
      <c r="D53" s="29">
        <f>입력!G11+입력!G16+입력!G21</f>
        <v/>
      </c>
      <c r="E53" s="75">
        <f>D53-C53</f>
        <v/>
      </c>
      <c r="F53" s="76">
        <f>E53*B53</f>
        <v/>
      </c>
      <c r="G53" s="38">
        <f>IF(F53=0,0,$E$18/($C$17+F53)*100-$F$17)</f>
        <v/>
      </c>
      <c r="I53" s="19" t="n"/>
      <c r="J53" s="20" t="n"/>
      <c r="K53" s="20" t="n"/>
      <c r="L53" s="21" t="n"/>
    </row>
    <row r="54">
      <c r="A54" s="31" t="inlineStr">
        <is>
          <t>합계</t>
        </is>
      </c>
      <c r="B54" s="32" t="inlineStr"/>
      <c r="C54" s="34">
        <f>SUM(C50:C53)</f>
        <v/>
      </c>
      <c r="D54" s="34">
        <f>SUM(D50:D53)</f>
        <v/>
      </c>
      <c r="E54" s="79">
        <f>SUM(E50:E53)</f>
        <v/>
      </c>
      <c r="F54" s="80">
        <f>SUM(F50:F53)</f>
        <v/>
      </c>
      <c r="G54" s="81">
        <f>$F$18-$F$17</f>
        <v/>
      </c>
      <c r="I54" s="82" t="inlineStr">
        <is>
          <t>※ 계열별 '확보율 영향'은 2024 기준면적에 그 계열 변화만 더했을 때의 변화로, 계열별 합이 전체 변화와 정확히 같지는 않습니다(비율 계산 특성).</t>
        </is>
      </c>
    </row>
    <row r="55">
      <c r="A55" s="46" t="inlineStr">
        <is>
          <t>교사 인정면적 변화(㎡)</t>
        </is>
      </c>
      <c r="B55" s="8" t="n"/>
      <c r="C55" s="8" t="n"/>
      <c r="D55" s="9" t="n"/>
      <c r="E55" s="83">
        <f>E18-E17</f>
        <v/>
      </c>
      <c r="F55" s="8" t="n"/>
      <c r="G55" s="9" t="n"/>
    </row>
    <row r="56">
      <c r="A56" s="46" t="inlineStr">
        <is>
          <t>입학정원 기준면적 변화(㎡)</t>
        </is>
      </c>
      <c r="B56" s="8" t="n"/>
      <c r="C56" s="8" t="n"/>
      <c r="D56" s="9" t="n"/>
      <c r="E56" s="84">
        <f>D18-D17</f>
        <v/>
      </c>
      <c r="F56" s="8" t="n"/>
      <c r="G56" s="9" t="n"/>
    </row>
  </sheetData>
  <mergeCells count="25">
    <mergeCell ref="A37:L37"/>
    <mergeCell ref="A26:L26"/>
    <mergeCell ref="D6:F7"/>
    <mergeCell ref="A5:C5"/>
    <mergeCell ref="G5:I5"/>
    <mergeCell ref="A35:L35"/>
    <mergeCell ref="A6:C7"/>
    <mergeCell ref="J6:L7"/>
    <mergeCell ref="A10:L10"/>
    <mergeCell ref="D5:F5"/>
    <mergeCell ref="I49:L53"/>
    <mergeCell ref="I54:L56"/>
    <mergeCell ref="C3:E3"/>
    <mergeCell ref="E56:G56"/>
    <mergeCell ref="A9:L9"/>
    <mergeCell ref="A48:L48"/>
    <mergeCell ref="A24:L24"/>
    <mergeCell ref="J5:L5"/>
    <mergeCell ref="G6:I7"/>
    <mergeCell ref="A15:L15"/>
    <mergeCell ref="E55:G55"/>
    <mergeCell ref="A56:D56"/>
    <mergeCell ref="A11:L11"/>
    <mergeCell ref="A1:L1"/>
    <mergeCell ref="A55:D55"/>
  </mergeCells>
  <conditionalFormatting sqref="I17:I23">
    <cfRule type="expression" priority="1" dxfId="2">
      <formula>I17="적정"</formula>
    </cfRule>
    <cfRule type="expression" priority="2" dxfId="1">
      <formula>I17="주의"</formula>
    </cfRule>
    <cfRule type="expression" priority="3" dxfId="0">
      <formula>I17="미달"</formula>
    </cfRule>
  </conditionalFormatting>
  <conditionalFormatting sqref="A17:L23">
    <cfRule type="expression" priority="4" dxfId="3">
      <formula>$A17=$B$3</formula>
    </cfRule>
  </conditionalFormatting>
  <conditionalFormatting sqref="J6">
    <cfRule type="expression" priority="5" dxfId="4">
      <formula>$J$6="적정"</formula>
    </cfRule>
    <cfRule type="expression" priority="6" dxfId="5">
      <formula>$J$6="주의"</formula>
    </cfRule>
    <cfRule type="expression" priority="7" dxfId="6">
      <formula>$J$6="미달"</formula>
    </cfRule>
  </conditionalFormatting>
  <dataValidations count="1">
    <dataValidation sqref="B3" showDropDown="0" showInputMessage="0" showErrorMessage="0" allowBlank="0" type="list">
      <formula1>"2024,2025,2026,2027,2028,2029,2030"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9" customWidth="1" min="4" max="4"/>
    <col width="12" customWidth="1" min="5" max="5"/>
    <col width="9" customWidth="1" min="6" max="6"/>
    <col width="13" customWidth="1" min="7" max="7"/>
    <col width="11" customWidth="1" min="8" max="8"/>
    <col width="11" customWidth="1" min="9" max="9"/>
    <col width="9" customWidth="1" min="10" max="10"/>
    <col width="9" customWidth="1" min="11" max="11"/>
  </cols>
  <sheetData>
    <row r="1" ht="30" customHeight="1">
      <c r="A1" s="1" t="inlineStr">
        <is>
          <t>민감도 분석 · 재학생이 늘거나 줄면 교사확보율은 어떻게 될까?</t>
        </is>
      </c>
    </row>
    <row r="2" ht="30" customHeight="1">
      <c r="A2" s="2" t="inlineStr">
        <is>
          <t>이 시트로 알 수 있는 것  ①재학생 증감에 따른 확보율 변화  ②확보율 목표를 지키려면 재학생을 최대 몇 명까지 늘릴 수 있는지  ③계열을 섞어 늘릴 때의 결과.  노란 칸만 바꾸면 됩니다.</t>
        </is>
      </c>
    </row>
    <row r="4" ht="22" customHeight="1">
      <c r="A4" s="7" t="inlineStr">
        <is>
          <t>0단계 · 기준 정하기 — 어느 해 상태에서 출발할지 고릅니다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9" t="n"/>
    </row>
    <row r="5">
      <c r="A5" s="46" t="inlineStr">
        <is>
          <t>기준 연도</t>
        </is>
      </c>
      <c r="B5" s="85" t="n">
        <v>2025</v>
      </c>
      <c r="D5" s="46" t="inlineStr">
        <is>
          <t>기준 재학생 수(명)</t>
        </is>
      </c>
      <c r="E5" s="86">
        <f>INDEX(결과요약!$B$17:$B$23,MATCH($B$5,결과요약!$A$17:$A$23,0))</f>
        <v/>
      </c>
      <c r="H5" s="46" t="inlineStr">
        <is>
          <t>현재 재학생기준 확보율</t>
        </is>
      </c>
      <c r="I5" s="9" t="n"/>
      <c r="J5" s="87">
        <f>IF(E6=0,0,E7/E6*100)</f>
        <v/>
      </c>
      <c r="K5" s="9" t="n"/>
    </row>
    <row r="6">
      <c r="A6" s="46" t="inlineStr">
        <is>
          <t>표 증감 간격(명)</t>
        </is>
      </c>
      <c r="B6" s="88" t="n">
        <v>250</v>
      </c>
      <c r="D6" s="46" t="inlineStr">
        <is>
          <t>재학생 기준면적 B(㎡)</t>
        </is>
      </c>
      <c r="E6" s="86">
        <f>INDEX(결과요약!$C$17:$C$23,MATCH($B$5,결과요약!$A$17:$A$23,0))</f>
        <v/>
      </c>
      <c r="H6" s="46" t="inlineStr">
        <is>
          <t>여유 면적(㎡)</t>
        </is>
      </c>
      <c r="I6" s="9" t="n"/>
      <c r="J6" s="86">
        <f>E7-E6</f>
        <v/>
      </c>
      <c r="K6" s="9" t="n"/>
    </row>
    <row r="7">
      <c r="A7" s="5" t="inlineStr">
        <is>
          <t>↑ 연도는 결과요약 시트의 예측값을 그대로 가져옵니다.</t>
        </is>
      </c>
      <c r="D7" s="46" t="inlineStr">
        <is>
          <t>교사 인정면적(㎡)</t>
        </is>
      </c>
      <c r="E7" s="86">
        <f>INDEX(결과요약!$E$17:$E$23,MATCH($B$5,결과요약!$A$17:$A$23,0))</f>
        <v/>
      </c>
      <c r="H7" s="46" t="inlineStr">
        <is>
          <t>입학정원 시설정원(명)</t>
        </is>
      </c>
      <c r="I7" s="9" t="n"/>
      <c r="J7" s="86">
        <f>INDEX(입력!$F$42:$K$42,MATCH($B$5,결과요약!$A$17:$A$23,0))</f>
        <v/>
      </c>
      <c r="K7" s="9" t="n"/>
    </row>
    <row r="9" ht="22" customHeight="1">
      <c r="A9" s="7" t="inlineStr">
        <is>
          <t>1단계 · 한눈에 보는 핵심 (숫자가 바뀌면 문장도 자동으로 바뀝니다)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 t="n"/>
    </row>
    <row r="10" ht="30" customHeight="1">
      <c r="A10" s="89">
        <f>"● 현재("&amp;$B$5&amp;"년) 재학생은 "&amp;TEXT(E5,"#,##0")&amp;"명, 재학생기준 확보율은 "&amp;TEXT(J5,"0.0")&amp;"%이며, 법정 기준(100%)보다 "&amp;TEXT(J6,"#,##0")&amp;"㎡ 여유가 있습니다."</f>
        <v/>
      </c>
    </row>
    <row r="11" ht="30" customHeight="1">
      <c r="A11" s="90">
        <f>"● 재학생 1명이 늘면 기준면적이 인문사회는 12㎡, 자연과학·공학·예체능은 14㎡ 늘어납니다. 100명 늘면 확보율이 약 "&amp;TEXT(J5-E7/(E6+1200)*100,"0.0")&amp;"%p(인문사회) ~ "&amp;TEXT(J5-E7/(E6+1400)*100,"0.0")&amp;"%p(자연·공학·예체능) 내려갑니다."</f>
        <v/>
      </c>
    </row>
    <row r="12" ht="30" customHeight="1">
      <c r="A12" s="90">
        <f>IF(J6&lt;0,"● 이미 법정 기준(100%)에 미달합니다.","● 확보율이 100% 아래로 떨어지려면 재학생이 인문사회만 늘 경우 "&amp;TEXT(ROUNDDOWN(J6/12,0)+1,"#,##0")&amp;"명 이상, 자연·공학·예체능만 늘 경우 "&amp;TEXT(ROUNDDOWN(J6/14,0)+1,"#,##0")&amp;"명 이상 늘어야 합니다.")</f>
        <v/>
      </c>
    </row>
    <row r="13" ht="30" customHeight="1">
      <c r="A13" s="90">
        <f>IF(J5&lt;사용안내!$C$27,"● 이미 주의 기준("&amp;사용안내!$C$27&amp;"%)보다 낮습니다.","● 주의 기준("&amp;사용안내!$C$27&amp;"%)까지는 인문사회 "&amp;TEXT(ROUNDDOWN((E7/사용안내!$C$27*100-E6)/12,0),"#,##0")&amp;"명, 자연·공학·예체능 "&amp;TEXT(ROUNDDOWN((E7/사용안내!$C$27*100-E6)/14,0),"#,##0")&amp;"명까지 늘어도 됩니다.")</f>
        <v/>
      </c>
    </row>
    <row r="14" ht="30" customHeight="1">
      <c r="A14" s="90">
        <f>IF(E5&gt;J7,"● 재학생이 "&amp;TEXT(E5-J7,"#,##0")&amp;"명 넘게 줄면 재학생 수가 입학정원 시설정원("&amp;TEXT(J7,"#,##0")&amp;"명)보다 적어집니다. 이때부터는 재학생 기준면적 이상만 보유하면 법정 기준을 충족합니다(지침 ※ 조항).","● 재학생 수가 이미 입학정원 시설정원보다 적어, 재학생 기준면적이 법정 의무 기준입니다.")</f>
        <v/>
      </c>
    </row>
    <row r="16" ht="22" customHeight="1">
      <c r="A16" s="7" t="inlineStr">
        <is>
          <t>2단계 · 계산 원리 — 예시 숫자로 따라가 보기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/>
    </row>
    <row r="17">
      <c r="A17" s="22" t="inlineStr">
        <is>
          <t>공식:  재학생기준 확보율 = 교사 인정면적 ÷ ( 현재 재학생 기준면적 + 늘어난 재학생 × 1인당 기준면적 ) × 100</t>
        </is>
      </c>
    </row>
    <row r="18">
      <c r="A18" s="5" t="inlineStr">
        <is>
          <t>1인당 기준면적은 인문사회 12㎡, 자연과학·공학·예체능 14㎡ (운영 중인 대학, 학부·대학원 구분 없음). 줄어드는 경우는 음수(−)로 넣으면 됩니다.</t>
        </is>
      </c>
    </row>
    <row r="19">
      <c r="A19" s="46" t="inlineStr">
        <is>
          <t>예시 증감 인원(명)</t>
        </is>
      </c>
      <c r="B19" s="9" t="n"/>
      <c r="C19" s="91" t="n">
        <v>500</v>
      </c>
      <c r="D19" s="46" t="inlineStr">
        <is>
          <t>계열 선택</t>
        </is>
      </c>
      <c r="E19" s="92" t="inlineStr">
        <is>
          <t>인문사회</t>
        </is>
      </c>
      <c r="F19" s="9" t="n"/>
      <c r="G19" s="46" t="inlineStr">
        <is>
          <t>1인당 기준면적</t>
        </is>
      </c>
      <c r="H19" s="93">
        <f>IF(E19="인문사회",12,14)</f>
        <v/>
      </c>
    </row>
    <row r="20" ht="22" customHeight="1">
      <c r="A20" s="24" t="inlineStr">
        <is>
          <t>순서</t>
        </is>
      </c>
      <c r="B20" s="24" t="inlineStr">
        <is>
          <t>내용</t>
        </is>
      </c>
      <c r="C20" s="9" t="n"/>
      <c r="D20" s="24" t="inlineStr">
        <is>
          <t>계산식</t>
        </is>
      </c>
      <c r="E20" s="8" t="n"/>
      <c r="F20" s="8" t="n"/>
      <c r="G20" s="8" t="n"/>
      <c r="H20" s="8" t="n"/>
      <c r="I20" s="9" t="n"/>
      <c r="J20" s="24" t="inlineStr">
        <is>
          <t>결과</t>
        </is>
      </c>
      <c r="K20" s="9" t="n"/>
    </row>
    <row r="21">
      <c r="A21" s="94" t="inlineStr">
        <is>
          <t>①</t>
        </is>
      </c>
      <c r="B21" s="95" t="inlineStr">
        <is>
          <t>늘어나는 기준면적</t>
        </is>
      </c>
      <c r="C21" s="9" t="n"/>
      <c r="D21" s="42">
        <f>TEXT(C19,"#,##0")&amp;"명 × "&amp;H19&amp;"㎡"</f>
        <v/>
      </c>
      <c r="E21" s="8" t="n"/>
      <c r="F21" s="8" t="n"/>
      <c r="G21" s="8" t="n"/>
      <c r="H21" s="8" t="n"/>
      <c r="I21" s="9" t="n"/>
      <c r="J21" s="86">
        <f>C19*H19</f>
        <v/>
      </c>
      <c r="K21" s="9" t="n"/>
    </row>
    <row r="22">
      <c r="A22" s="94" t="inlineStr">
        <is>
          <t>②</t>
        </is>
      </c>
      <c r="B22" s="95" t="inlineStr">
        <is>
          <t>새 재학생 기준면적</t>
        </is>
      </c>
      <c r="C22" s="9" t="n"/>
      <c r="D22" s="42">
        <f>TEXT(E6,"#,##0")&amp;" + "&amp;TEXT(C19*H19,"#,##0")</f>
        <v/>
      </c>
      <c r="E22" s="8" t="n"/>
      <c r="F22" s="8" t="n"/>
      <c r="G22" s="8" t="n"/>
      <c r="H22" s="8" t="n"/>
      <c r="I22" s="9" t="n"/>
      <c r="J22" s="86">
        <f>E6+C19*H19</f>
        <v/>
      </c>
      <c r="K22" s="9" t="n"/>
    </row>
    <row r="23">
      <c r="A23" s="94" t="inlineStr">
        <is>
          <t>③</t>
        </is>
      </c>
      <c r="B23" s="95" t="inlineStr">
        <is>
          <t>새 확보율</t>
        </is>
      </c>
      <c r="C23" s="9" t="n"/>
      <c r="D23" s="42">
        <f>TEXT(E7,"#,##0")&amp;" ÷ "&amp;TEXT(E6+C19*H19,"#,##0")&amp;" × 100"</f>
        <v/>
      </c>
      <c r="E23" s="8" t="n"/>
      <c r="F23" s="8" t="n"/>
      <c r="G23" s="8" t="n"/>
      <c r="H23" s="8" t="n"/>
      <c r="I23" s="9" t="n"/>
      <c r="J23" s="87">
        <f>IF(E6+C19*H19&lt;=0,0,E7/(E6+C19*H19)*100)</f>
        <v/>
      </c>
      <c r="K23" s="9" t="n"/>
    </row>
    <row r="24">
      <c r="A24" s="94" t="inlineStr">
        <is>
          <t>④</t>
        </is>
      </c>
      <c r="B24" s="95" t="inlineStr">
        <is>
          <t>현재 대비 변화</t>
        </is>
      </c>
      <c r="C24" s="9" t="n"/>
      <c r="D24" s="42">
        <f>TEXT(J5,"0.0")&amp;"% → "&amp;TEXT(J23,"0.0")&amp;"%"</f>
        <v/>
      </c>
      <c r="E24" s="8" t="n"/>
      <c r="F24" s="8" t="n"/>
      <c r="G24" s="8" t="n"/>
      <c r="H24" s="8" t="n"/>
      <c r="I24" s="9" t="n"/>
      <c r="J24" s="96">
        <f>J23-J5</f>
        <v/>
      </c>
      <c r="K24" s="9" t="n"/>
    </row>
    <row r="27" ht="22" customHeight="1">
      <c r="A27" s="7" t="inlineStr">
        <is>
          <t>3단계 · 재학생 증감별 확보율 표 — 한 계열만 늘거나 줄었다고 가정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 t="n"/>
    </row>
    <row r="28">
      <c r="A28" s="5" t="inlineStr">
        <is>
          <t>읽는 법: 왼쪽 '재학생 증감'만큼 해당 계열 재학생이 바뀌면 오른쪽 확보율이 됩니다. 파란 줄이 현재. 빨강=100% 미만(미달), 노랑=주의 기준 미만, 초록=적정.</t>
        </is>
      </c>
    </row>
    <row r="29">
      <c r="A29" s="97" t="inlineStr"/>
      <c r="B29" s="97" t="inlineStr"/>
      <c r="C29" s="65" t="inlineStr">
        <is>
          <t>인문사회 계열이 바뀔 때 (1인당 12㎡)</t>
        </is>
      </c>
      <c r="D29" s="8" t="n"/>
      <c r="E29" s="8" t="n"/>
      <c r="F29" s="9" t="n"/>
      <c r="G29" s="98" t="inlineStr">
        <is>
          <t>자연과학·공학·예체능이 바뀔 때 (1인당 14㎡)</t>
        </is>
      </c>
      <c r="H29" s="8" t="n"/>
      <c r="I29" s="8" t="n"/>
      <c r="J29" s="9" t="n"/>
    </row>
    <row r="30" ht="34" customHeight="1">
      <c r="A30" s="24" t="inlineStr">
        <is>
          <t>재학생 증감
(명)</t>
        </is>
      </c>
      <c r="B30" s="24" t="inlineStr">
        <is>
          <t>전체 재학생
(명)</t>
        </is>
      </c>
      <c r="C30" s="24" t="inlineStr">
        <is>
          <t>재학생
기준면적(㎡)</t>
        </is>
      </c>
      <c r="D30" s="24" t="inlineStr">
        <is>
          <t>확보율</t>
        </is>
      </c>
      <c r="E30" s="24" t="inlineStr">
        <is>
          <t>현재 대비</t>
        </is>
      </c>
      <c r="F30" s="24" t="inlineStr">
        <is>
          <t>판정</t>
        </is>
      </c>
      <c r="G30" s="24" t="inlineStr">
        <is>
          <t>재학생
기준면적(㎡)</t>
        </is>
      </c>
      <c r="H30" s="24" t="inlineStr">
        <is>
          <t>확보율</t>
        </is>
      </c>
      <c r="I30" s="24" t="inlineStr">
        <is>
          <t>현재 대비</t>
        </is>
      </c>
      <c r="J30" s="24" t="inlineStr">
        <is>
          <t>판정</t>
        </is>
      </c>
    </row>
    <row r="31">
      <c r="A31" s="99">
        <f>$B$6*-6</f>
        <v/>
      </c>
      <c r="B31" s="71">
        <f>$E$5+A31</f>
        <v/>
      </c>
      <c r="C31" s="29">
        <f>$E$6+A31*12</f>
        <v/>
      </c>
      <c r="D31" s="37">
        <f>IF(C31&lt;=0,0,$E$7/C31*100)</f>
        <v/>
      </c>
      <c r="E31" s="38">
        <f>D31-$J$5</f>
        <v/>
      </c>
      <c r="F31" s="25">
        <f>IF(D31&lt;100,"미달",IF(D31&lt;사용안내!$C$27,"주의","적정"))</f>
        <v/>
      </c>
      <c r="G31" s="29">
        <f>$E$6+A31*14</f>
        <v/>
      </c>
      <c r="H31" s="37">
        <f>IF(G31&lt;=0,0,$E$7/G31*100)</f>
        <v/>
      </c>
      <c r="I31" s="38">
        <f>H31-$J$5</f>
        <v/>
      </c>
      <c r="J31" s="25">
        <f>IF(H31&lt;100,"미달",IF(H31&lt;사용안내!$C$27,"주의","적정"))</f>
        <v/>
      </c>
    </row>
    <row r="32">
      <c r="A32" s="99">
        <f>$B$6*-5</f>
        <v/>
      </c>
      <c r="B32" s="71">
        <f>$E$5+A32</f>
        <v/>
      </c>
      <c r="C32" s="29">
        <f>$E$6+A32*12</f>
        <v/>
      </c>
      <c r="D32" s="37">
        <f>IF(C32&lt;=0,0,$E$7/C32*100)</f>
        <v/>
      </c>
      <c r="E32" s="38">
        <f>D32-$J$5</f>
        <v/>
      </c>
      <c r="F32" s="25">
        <f>IF(D32&lt;100,"미달",IF(D32&lt;사용안내!$C$27,"주의","적정"))</f>
        <v/>
      </c>
      <c r="G32" s="29">
        <f>$E$6+A32*14</f>
        <v/>
      </c>
      <c r="H32" s="37">
        <f>IF(G32&lt;=0,0,$E$7/G32*100)</f>
        <v/>
      </c>
      <c r="I32" s="38">
        <f>H32-$J$5</f>
        <v/>
      </c>
      <c r="J32" s="25">
        <f>IF(H32&lt;100,"미달",IF(H32&lt;사용안내!$C$27,"주의","적정"))</f>
        <v/>
      </c>
    </row>
    <row r="33">
      <c r="A33" s="99">
        <f>$B$6*-4</f>
        <v/>
      </c>
      <c r="B33" s="71">
        <f>$E$5+A33</f>
        <v/>
      </c>
      <c r="C33" s="29">
        <f>$E$6+A33*12</f>
        <v/>
      </c>
      <c r="D33" s="37">
        <f>IF(C33&lt;=0,0,$E$7/C33*100)</f>
        <v/>
      </c>
      <c r="E33" s="38">
        <f>D33-$J$5</f>
        <v/>
      </c>
      <c r="F33" s="25">
        <f>IF(D33&lt;100,"미달",IF(D33&lt;사용안내!$C$27,"주의","적정"))</f>
        <v/>
      </c>
      <c r="G33" s="29">
        <f>$E$6+A33*14</f>
        <v/>
      </c>
      <c r="H33" s="37">
        <f>IF(G33&lt;=0,0,$E$7/G33*100)</f>
        <v/>
      </c>
      <c r="I33" s="38">
        <f>H33-$J$5</f>
        <v/>
      </c>
      <c r="J33" s="25">
        <f>IF(H33&lt;100,"미달",IF(H33&lt;사용안내!$C$27,"주의","적정"))</f>
        <v/>
      </c>
    </row>
    <row r="34">
      <c r="A34" s="99">
        <f>$B$6*-3</f>
        <v/>
      </c>
      <c r="B34" s="71">
        <f>$E$5+A34</f>
        <v/>
      </c>
      <c r="C34" s="29">
        <f>$E$6+A34*12</f>
        <v/>
      </c>
      <c r="D34" s="37">
        <f>IF(C34&lt;=0,0,$E$7/C34*100)</f>
        <v/>
      </c>
      <c r="E34" s="38">
        <f>D34-$J$5</f>
        <v/>
      </c>
      <c r="F34" s="25">
        <f>IF(D34&lt;100,"미달",IF(D34&lt;사용안내!$C$27,"주의","적정"))</f>
        <v/>
      </c>
      <c r="G34" s="29">
        <f>$E$6+A34*14</f>
        <v/>
      </c>
      <c r="H34" s="37">
        <f>IF(G34&lt;=0,0,$E$7/G34*100)</f>
        <v/>
      </c>
      <c r="I34" s="38">
        <f>H34-$J$5</f>
        <v/>
      </c>
      <c r="J34" s="25">
        <f>IF(H34&lt;100,"미달",IF(H34&lt;사용안내!$C$27,"주의","적정"))</f>
        <v/>
      </c>
    </row>
    <row r="35">
      <c r="A35" s="99">
        <f>$B$6*-2</f>
        <v/>
      </c>
      <c r="B35" s="71">
        <f>$E$5+A35</f>
        <v/>
      </c>
      <c r="C35" s="29">
        <f>$E$6+A35*12</f>
        <v/>
      </c>
      <c r="D35" s="37">
        <f>IF(C35&lt;=0,0,$E$7/C35*100)</f>
        <v/>
      </c>
      <c r="E35" s="38">
        <f>D35-$J$5</f>
        <v/>
      </c>
      <c r="F35" s="25">
        <f>IF(D35&lt;100,"미달",IF(D35&lt;사용안내!$C$27,"주의","적정"))</f>
        <v/>
      </c>
      <c r="G35" s="29">
        <f>$E$6+A35*14</f>
        <v/>
      </c>
      <c r="H35" s="37">
        <f>IF(G35&lt;=0,0,$E$7/G35*100)</f>
        <v/>
      </c>
      <c r="I35" s="38">
        <f>H35-$J$5</f>
        <v/>
      </c>
      <c r="J35" s="25">
        <f>IF(H35&lt;100,"미달",IF(H35&lt;사용안내!$C$27,"주의","적정"))</f>
        <v/>
      </c>
    </row>
    <row r="36">
      <c r="A36" s="99">
        <f>$B$6*-1</f>
        <v/>
      </c>
      <c r="B36" s="71">
        <f>$E$5+A36</f>
        <v/>
      </c>
      <c r="C36" s="29">
        <f>$E$6+A36*12</f>
        <v/>
      </c>
      <c r="D36" s="37">
        <f>IF(C36&lt;=0,0,$E$7/C36*100)</f>
        <v/>
      </c>
      <c r="E36" s="38">
        <f>D36-$J$5</f>
        <v/>
      </c>
      <c r="F36" s="25">
        <f>IF(D36&lt;100,"미달",IF(D36&lt;사용안내!$C$27,"주의","적정"))</f>
        <v/>
      </c>
      <c r="G36" s="29">
        <f>$E$6+A36*14</f>
        <v/>
      </c>
      <c r="H36" s="37">
        <f>IF(G36&lt;=0,0,$E$7/G36*100)</f>
        <v/>
      </c>
      <c r="I36" s="38">
        <f>H36-$J$5</f>
        <v/>
      </c>
      <c r="J36" s="25">
        <f>IF(H36&lt;100,"미달",IF(H36&lt;사용안내!$C$27,"주의","적정"))</f>
        <v/>
      </c>
    </row>
    <row r="37">
      <c r="A37" s="99">
        <f>$B$6*0</f>
        <v/>
      </c>
      <c r="B37" s="71">
        <f>$E$5+A37</f>
        <v/>
      </c>
      <c r="C37" s="29">
        <f>$E$6+A37*12</f>
        <v/>
      </c>
      <c r="D37" s="37">
        <f>IF(C37&lt;=0,0,$E$7/C37*100)</f>
        <v/>
      </c>
      <c r="E37" s="38">
        <f>D37-$J$5</f>
        <v/>
      </c>
      <c r="F37" s="25">
        <f>IF(D37&lt;100,"미달",IF(D37&lt;사용안내!$C$27,"주의","적정"))</f>
        <v/>
      </c>
      <c r="G37" s="29">
        <f>$E$6+A37*14</f>
        <v/>
      </c>
      <c r="H37" s="37">
        <f>IF(G37&lt;=0,0,$E$7/G37*100)</f>
        <v/>
      </c>
      <c r="I37" s="38">
        <f>H37-$J$5</f>
        <v/>
      </c>
      <c r="J37" s="25">
        <f>IF(H37&lt;100,"미달",IF(H37&lt;사용안내!$C$27,"주의","적정"))</f>
        <v/>
      </c>
    </row>
    <row r="38">
      <c r="A38" s="99">
        <f>$B$6*1</f>
        <v/>
      </c>
      <c r="B38" s="71">
        <f>$E$5+A38</f>
        <v/>
      </c>
      <c r="C38" s="29">
        <f>$E$6+A38*12</f>
        <v/>
      </c>
      <c r="D38" s="37">
        <f>IF(C38&lt;=0,0,$E$7/C38*100)</f>
        <v/>
      </c>
      <c r="E38" s="38">
        <f>D38-$J$5</f>
        <v/>
      </c>
      <c r="F38" s="25">
        <f>IF(D38&lt;100,"미달",IF(D38&lt;사용안내!$C$27,"주의","적정"))</f>
        <v/>
      </c>
      <c r="G38" s="29">
        <f>$E$6+A38*14</f>
        <v/>
      </c>
      <c r="H38" s="37">
        <f>IF(G38&lt;=0,0,$E$7/G38*100)</f>
        <v/>
      </c>
      <c r="I38" s="38">
        <f>H38-$J$5</f>
        <v/>
      </c>
      <c r="J38" s="25">
        <f>IF(H38&lt;100,"미달",IF(H38&lt;사용안내!$C$27,"주의","적정"))</f>
        <v/>
      </c>
    </row>
    <row r="39">
      <c r="A39" s="99">
        <f>$B$6*2</f>
        <v/>
      </c>
      <c r="B39" s="71">
        <f>$E$5+A39</f>
        <v/>
      </c>
      <c r="C39" s="29">
        <f>$E$6+A39*12</f>
        <v/>
      </c>
      <c r="D39" s="37">
        <f>IF(C39&lt;=0,0,$E$7/C39*100)</f>
        <v/>
      </c>
      <c r="E39" s="38">
        <f>D39-$J$5</f>
        <v/>
      </c>
      <c r="F39" s="25">
        <f>IF(D39&lt;100,"미달",IF(D39&lt;사용안내!$C$27,"주의","적정"))</f>
        <v/>
      </c>
      <c r="G39" s="29">
        <f>$E$6+A39*14</f>
        <v/>
      </c>
      <c r="H39" s="37">
        <f>IF(G39&lt;=0,0,$E$7/G39*100)</f>
        <v/>
      </c>
      <c r="I39" s="38">
        <f>H39-$J$5</f>
        <v/>
      </c>
      <c r="J39" s="25">
        <f>IF(H39&lt;100,"미달",IF(H39&lt;사용안내!$C$27,"주의","적정"))</f>
        <v/>
      </c>
    </row>
    <row r="40">
      <c r="A40" s="99">
        <f>$B$6*3</f>
        <v/>
      </c>
      <c r="B40" s="71">
        <f>$E$5+A40</f>
        <v/>
      </c>
      <c r="C40" s="29">
        <f>$E$6+A40*12</f>
        <v/>
      </c>
      <c r="D40" s="37">
        <f>IF(C40&lt;=0,0,$E$7/C40*100)</f>
        <v/>
      </c>
      <c r="E40" s="38">
        <f>D40-$J$5</f>
        <v/>
      </c>
      <c r="F40" s="25">
        <f>IF(D40&lt;100,"미달",IF(D40&lt;사용안내!$C$27,"주의","적정"))</f>
        <v/>
      </c>
      <c r="G40" s="29">
        <f>$E$6+A40*14</f>
        <v/>
      </c>
      <c r="H40" s="37">
        <f>IF(G40&lt;=0,0,$E$7/G40*100)</f>
        <v/>
      </c>
      <c r="I40" s="38">
        <f>H40-$J$5</f>
        <v/>
      </c>
      <c r="J40" s="25">
        <f>IF(H40&lt;100,"미달",IF(H40&lt;사용안내!$C$27,"주의","적정"))</f>
        <v/>
      </c>
    </row>
    <row r="41">
      <c r="A41" s="99">
        <f>$B$6*4</f>
        <v/>
      </c>
      <c r="B41" s="71">
        <f>$E$5+A41</f>
        <v/>
      </c>
      <c r="C41" s="29">
        <f>$E$6+A41*12</f>
        <v/>
      </c>
      <c r="D41" s="37">
        <f>IF(C41&lt;=0,0,$E$7/C41*100)</f>
        <v/>
      </c>
      <c r="E41" s="38">
        <f>D41-$J$5</f>
        <v/>
      </c>
      <c r="F41" s="25">
        <f>IF(D41&lt;100,"미달",IF(D41&lt;사용안내!$C$27,"주의","적정"))</f>
        <v/>
      </c>
      <c r="G41" s="29">
        <f>$E$6+A41*14</f>
        <v/>
      </c>
      <c r="H41" s="37">
        <f>IF(G41&lt;=0,0,$E$7/G41*100)</f>
        <v/>
      </c>
      <c r="I41" s="38">
        <f>H41-$J$5</f>
        <v/>
      </c>
      <c r="J41" s="25">
        <f>IF(H41&lt;100,"미달",IF(H41&lt;사용안내!$C$27,"주의","적정"))</f>
        <v/>
      </c>
    </row>
    <row r="42">
      <c r="A42" s="99">
        <f>$B$6*5</f>
        <v/>
      </c>
      <c r="B42" s="71">
        <f>$E$5+A42</f>
        <v/>
      </c>
      <c r="C42" s="29">
        <f>$E$6+A42*12</f>
        <v/>
      </c>
      <c r="D42" s="37">
        <f>IF(C42&lt;=0,0,$E$7/C42*100)</f>
        <v/>
      </c>
      <c r="E42" s="38">
        <f>D42-$J$5</f>
        <v/>
      </c>
      <c r="F42" s="25">
        <f>IF(D42&lt;100,"미달",IF(D42&lt;사용안내!$C$27,"주의","적정"))</f>
        <v/>
      </c>
      <c r="G42" s="29">
        <f>$E$6+A42*14</f>
        <v/>
      </c>
      <c r="H42" s="37">
        <f>IF(G42&lt;=0,0,$E$7/G42*100)</f>
        <v/>
      </c>
      <c r="I42" s="38">
        <f>H42-$J$5</f>
        <v/>
      </c>
      <c r="J42" s="25">
        <f>IF(H42&lt;100,"미달",IF(H42&lt;사용안내!$C$27,"주의","적정"))</f>
        <v/>
      </c>
    </row>
    <row r="43">
      <c r="A43" s="99">
        <f>$B$6*6</f>
        <v/>
      </c>
      <c r="B43" s="71">
        <f>$E$5+A43</f>
        <v/>
      </c>
      <c r="C43" s="29">
        <f>$E$6+A43*12</f>
        <v/>
      </c>
      <c r="D43" s="37">
        <f>IF(C43&lt;=0,0,$E$7/C43*100)</f>
        <v/>
      </c>
      <c r="E43" s="38">
        <f>D43-$J$5</f>
        <v/>
      </c>
      <c r="F43" s="25">
        <f>IF(D43&lt;100,"미달",IF(D43&lt;사용안내!$C$27,"주의","적정"))</f>
        <v/>
      </c>
      <c r="G43" s="29">
        <f>$E$6+A43*14</f>
        <v/>
      </c>
      <c r="H43" s="37">
        <f>IF(G43&lt;=0,0,$E$7/G43*100)</f>
        <v/>
      </c>
      <c r="I43" s="38">
        <f>H43-$J$5</f>
        <v/>
      </c>
      <c r="J43" s="25">
        <f>IF(H43&lt;100,"미달",IF(H43&lt;사용안내!$C$27,"주의","적정"))</f>
        <v/>
      </c>
    </row>
    <row r="46" ht="22" customHeight="1">
      <c r="A46" s="7" t="inlineStr">
        <is>
          <t>4단계 · 거꾸로 계산하기 — 목표 확보율을 지키려면 재학생을 최대 몇 명까지 늘릴 수 있나?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 t="n"/>
    </row>
    <row r="47">
      <c r="A47" s="5" t="inlineStr">
        <is>
          <t>목표 확보율(노란 칸)은 바꿀 수 있습니다. 결과가 음수(−)이면 그 목표를 맞추려면 오히려 그만큼 재학생이 줄어야(또는 면적이 늘어야) 한다는 뜻입니다.</t>
        </is>
      </c>
    </row>
    <row r="48" ht="36" customHeight="1">
      <c r="A48" s="24" t="inlineStr">
        <is>
          <t>목표 확보율
(%)</t>
        </is>
      </c>
      <c r="B48" s="24" t="inlineStr">
        <is>
          <t>허용 최대
재학생 기준면적(㎡)</t>
        </is>
      </c>
      <c r="C48" s="24" t="inlineStr">
        <is>
          <t>현재보다 더 늘릴 수
있는 기준면적(㎡)</t>
        </is>
      </c>
      <c r="D48" s="9" t="n"/>
      <c r="E48" s="24" t="inlineStr">
        <is>
          <t>인문사회만 늘릴 때
최대 증가 인원</t>
        </is>
      </c>
      <c r="F48" s="9" t="n"/>
      <c r="G48" s="24" t="inlineStr">
        <is>
          <t>자연·공학·예체능만
늘릴 때 최대 증가 인원</t>
        </is>
      </c>
      <c r="H48" s="9" t="n"/>
    </row>
    <row r="49">
      <c r="A49" s="100" t="n">
        <v>130</v>
      </c>
      <c r="B49" s="29">
        <f>$E$7/A49*100</f>
        <v/>
      </c>
      <c r="C49" s="29">
        <f>B49-$E$6</f>
        <v/>
      </c>
      <c r="D49" s="9" t="n"/>
      <c r="E49" s="101">
        <f>IF(C49&gt;=0,ROUNDDOWN(C49/12,0),-ROUNDUP(-C49/12,0))</f>
        <v/>
      </c>
      <c r="F49" s="9" t="n"/>
      <c r="G49" s="101">
        <f>IF(C49&gt;=0,ROUNDDOWN(C49/14,0),-ROUNDUP(-C49/14,0))</f>
        <v/>
      </c>
      <c r="H49" s="9" t="n"/>
    </row>
    <row r="50">
      <c r="A50" s="100" t="n">
        <v>125</v>
      </c>
      <c r="B50" s="29">
        <f>$E$7/A50*100</f>
        <v/>
      </c>
      <c r="C50" s="29">
        <f>B50-$E$6</f>
        <v/>
      </c>
      <c r="D50" s="9" t="n"/>
      <c r="E50" s="101">
        <f>IF(C50&gt;=0,ROUNDDOWN(C50/12,0),-ROUNDUP(-C50/12,0))</f>
        <v/>
      </c>
      <c r="F50" s="9" t="n"/>
      <c r="G50" s="101">
        <f>IF(C50&gt;=0,ROUNDDOWN(C50/14,0),-ROUNDUP(-C50/14,0))</f>
        <v/>
      </c>
      <c r="H50" s="9" t="n"/>
    </row>
    <row r="51">
      <c r="A51" s="100" t="n">
        <v>120</v>
      </c>
      <c r="B51" s="29">
        <f>$E$7/A51*100</f>
        <v/>
      </c>
      <c r="C51" s="29">
        <f>B51-$E$6</f>
        <v/>
      </c>
      <c r="D51" s="9" t="n"/>
      <c r="E51" s="101">
        <f>IF(C51&gt;=0,ROUNDDOWN(C51/12,0),-ROUNDUP(-C51/12,0))</f>
        <v/>
      </c>
      <c r="F51" s="9" t="n"/>
      <c r="G51" s="101">
        <f>IF(C51&gt;=0,ROUNDDOWN(C51/14,0),-ROUNDUP(-C51/14,0))</f>
        <v/>
      </c>
      <c r="H51" s="9" t="n"/>
    </row>
    <row r="52">
      <c r="A52" s="100" t="n">
        <v>115</v>
      </c>
      <c r="B52" s="29">
        <f>$E$7/A52*100</f>
        <v/>
      </c>
      <c r="C52" s="29">
        <f>B52-$E$6</f>
        <v/>
      </c>
      <c r="D52" s="9" t="n"/>
      <c r="E52" s="101">
        <f>IF(C52&gt;=0,ROUNDDOWN(C52/12,0),-ROUNDUP(-C52/12,0))</f>
        <v/>
      </c>
      <c r="F52" s="9" t="n"/>
      <c r="G52" s="101">
        <f>IF(C52&gt;=0,ROUNDDOWN(C52/14,0),-ROUNDUP(-C52/14,0))</f>
        <v/>
      </c>
      <c r="H52" s="9" t="n"/>
    </row>
    <row r="53">
      <c r="A53" s="100" t="n">
        <v>110</v>
      </c>
      <c r="B53" s="29">
        <f>$E$7/A53*100</f>
        <v/>
      </c>
      <c r="C53" s="29">
        <f>B53-$E$6</f>
        <v/>
      </c>
      <c r="D53" s="9" t="n"/>
      <c r="E53" s="101">
        <f>IF(C53&gt;=0,ROUNDDOWN(C53/12,0),-ROUNDUP(-C53/12,0))</f>
        <v/>
      </c>
      <c r="F53" s="9" t="n"/>
      <c r="G53" s="101">
        <f>IF(C53&gt;=0,ROUNDDOWN(C53/14,0),-ROUNDUP(-C53/14,0))</f>
        <v/>
      </c>
      <c r="H53" s="9" t="n"/>
    </row>
    <row r="54">
      <c r="A54" s="100" t="n">
        <v>105</v>
      </c>
      <c r="B54" s="29">
        <f>$E$7/A54*100</f>
        <v/>
      </c>
      <c r="C54" s="29">
        <f>B54-$E$6</f>
        <v/>
      </c>
      <c r="D54" s="9" t="n"/>
      <c r="E54" s="101">
        <f>IF(C54&gt;=0,ROUNDDOWN(C54/12,0),-ROUNDUP(-C54/12,0))</f>
        <v/>
      </c>
      <c r="F54" s="9" t="n"/>
      <c r="G54" s="101">
        <f>IF(C54&gt;=0,ROUNDDOWN(C54/14,0),-ROUNDUP(-C54/14,0))</f>
        <v/>
      </c>
      <c r="H54" s="9" t="n"/>
    </row>
    <row r="55">
      <c r="A55" s="100" t="n">
        <v>100</v>
      </c>
      <c r="B55" s="29">
        <f>$E$7/A55*100</f>
        <v/>
      </c>
      <c r="C55" s="29">
        <f>B55-$E$6</f>
        <v/>
      </c>
      <c r="D55" s="9" t="n"/>
      <c r="E55" s="101">
        <f>IF(C55&gt;=0,ROUNDDOWN(C55/12,0),-ROUNDUP(-C55/12,0))</f>
        <v/>
      </c>
      <c r="F55" s="9" t="n"/>
      <c r="G55" s="101">
        <f>IF(C55&gt;=0,ROUNDDOWN(C55/14,0),-ROUNDUP(-C55/14,0))</f>
        <v/>
      </c>
      <c r="H55" s="9" t="n"/>
    </row>
    <row r="58" ht="22" customHeight="1">
      <c r="A58" s="7" t="inlineStr">
        <is>
          <t>5단계 · 내 시나리오 계산기 — 여러 계열을 섞어서 바꿔 보기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9" t="n"/>
    </row>
    <row r="59">
      <c r="A59" s="5" t="inlineStr">
        <is>
          <t>예) 대학원 공학 +80명, 학부 인문사회 −150명, 기숙사 신축 +2,000㎡ 처럼 동시에 넣어 보세요. (학부·대학원 구분 없이 계열별로 합쳐서 입력)</t>
        </is>
      </c>
    </row>
    <row r="60" ht="32" customHeight="1">
      <c r="A60" s="24" t="inlineStr">
        <is>
          <t>항목</t>
        </is>
      </c>
      <c r="B60" s="24" t="inlineStr">
        <is>
          <t>증감 입력</t>
        </is>
      </c>
      <c r="C60" s="24" t="inlineStr">
        <is>
          <t>1인당
기준면적</t>
        </is>
      </c>
      <c r="D60" s="24" t="inlineStr">
        <is>
          <t>기준면적 변화(㎡)</t>
        </is>
      </c>
      <c r="F60" s="24" t="inlineStr">
        <is>
          <t>계산 결과</t>
        </is>
      </c>
      <c r="G60" s="8" t="n"/>
      <c r="H60" s="8" t="n"/>
      <c r="I60" s="8" t="n"/>
      <c r="J60" s="8" t="n"/>
      <c r="K60" s="9" t="n"/>
    </row>
    <row r="61">
      <c r="A61" s="46" t="inlineStr">
        <is>
          <t>인문사회 재학생(명)</t>
        </is>
      </c>
      <c r="B61" s="102" t="n">
        <v>-150</v>
      </c>
      <c r="C61" s="26" t="n">
        <v>12</v>
      </c>
      <c r="D61" s="76">
        <f>B61*C61</f>
        <v/>
      </c>
      <c r="F61" s="46" t="inlineStr">
        <is>
          <t>재학생 증감 합계(명)</t>
        </is>
      </c>
      <c r="G61" s="8" t="n"/>
      <c r="H61" s="8" t="n"/>
      <c r="I61" s="9" t="n"/>
      <c r="J61" s="103">
        <f>SUM(B61:B64)</f>
        <v/>
      </c>
      <c r="K61" s="9" t="n"/>
    </row>
    <row r="62">
      <c r="A62" s="46" t="inlineStr">
        <is>
          <t>자연과학 재학생(명)</t>
        </is>
      </c>
      <c r="B62" s="102" t="n">
        <v>0</v>
      </c>
      <c r="C62" s="26" t="n">
        <v>14</v>
      </c>
      <c r="D62" s="76">
        <f>B62*C62</f>
        <v/>
      </c>
      <c r="F62" s="46" t="inlineStr">
        <is>
          <t>새 재학생 수(명)</t>
        </is>
      </c>
      <c r="G62" s="8" t="n"/>
      <c r="H62" s="8" t="n"/>
      <c r="I62" s="9" t="n"/>
      <c r="J62" s="86">
        <f>E5+J61</f>
        <v/>
      </c>
      <c r="K62" s="9" t="n"/>
    </row>
    <row r="63">
      <c r="A63" s="46" t="inlineStr">
        <is>
          <t>공학 재학생(명)</t>
        </is>
      </c>
      <c r="B63" s="102" t="n">
        <v>80</v>
      </c>
      <c r="C63" s="26" t="n">
        <v>14</v>
      </c>
      <c r="D63" s="76">
        <f>B63*C63</f>
        <v/>
      </c>
      <c r="F63" s="46" t="inlineStr">
        <is>
          <t>새 재학생 기준면적(㎡)</t>
        </is>
      </c>
      <c r="G63" s="8" t="n"/>
      <c r="H63" s="8" t="n"/>
      <c r="I63" s="9" t="n"/>
      <c r="J63" s="86">
        <f>E6+SUM(D61:D64)</f>
        <v/>
      </c>
      <c r="K63" s="9" t="n"/>
    </row>
    <row r="64">
      <c r="A64" s="46" t="inlineStr">
        <is>
          <t>예체능 재학생(명)</t>
        </is>
      </c>
      <c r="B64" s="102" t="n">
        <v>0</v>
      </c>
      <c r="C64" s="26" t="n">
        <v>14</v>
      </c>
      <c r="D64" s="76">
        <f>B64*C64</f>
        <v/>
      </c>
      <c r="F64" s="46" t="inlineStr">
        <is>
          <t>새 교사 인정면적(㎡)</t>
        </is>
      </c>
      <c r="G64" s="8" t="n"/>
      <c r="H64" s="8" t="n"/>
      <c r="I64" s="9" t="n"/>
      <c r="J64" s="86">
        <f>E7+B65</f>
        <v/>
      </c>
      <c r="K64" s="9" t="n"/>
    </row>
    <row r="65">
      <c r="A65" s="46" t="inlineStr">
        <is>
          <t>교사 인정면적 증감(㎡)</t>
        </is>
      </c>
      <c r="B65" s="102" t="n">
        <v>2000</v>
      </c>
      <c r="C65" s="45" t="inlineStr"/>
      <c r="D65" s="104" t="inlineStr">
        <is>
          <t>신축 +, 철거 −</t>
        </is>
      </c>
      <c r="F65" s="46" t="inlineStr">
        <is>
          <t>새 재학생기준 확보율</t>
        </is>
      </c>
      <c r="G65" s="8" t="n"/>
      <c r="H65" s="8" t="n"/>
      <c r="I65" s="9" t="n"/>
      <c r="J65" s="105">
        <f>IF(J63&lt;=0,0,J64/J63*100)</f>
        <v/>
      </c>
      <c r="K65" s="9" t="n"/>
    </row>
    <row r="66">
      <c r="F66" s="46" t="inlineStr">
        <is>
          <t>현재 대비 변화</t>
        </is>
      </c>
      <c r="G66" s="8" t="n"/>
      <c r="H66" s="8" t="n"/>
      <c r="I66" s="9" t="n"/>
      <c r="J66" s="106">
        <f>J65-J5</f>
        <v/>
      </c>
      <c r="K66" s="9" t="n"/>
    </row>
    <row r="68" ht="28" customHeight="1">
      <c r="A68" s="35">
        <f>"▶ 결과: 재학생 "&amp;TEXT(J61,"+#,##0;-#,##0;0")&amp;"명, 면적 "&amp;TEXT(B65,"+#,##0;-#,##0;0")&amp;"㎡ 변동 시 재학생기준 확보율은 "&amp;TEXT(J5,"0.0")&amp;"% → "&amp;TEXT(J65,"0.0")&amp;"% ("&amp;TEXT(J66,"+0.0;-0.0;0.0")&amp;"%p)로, 판정은 「"&amp;IF(J65&lt;100,"미달",IF(J65&lt;사용안내!$C$27,"주의","적정"))&amp;"」입니다."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9" t="n"/>
    </row>
    <row r="70">
      <c r="A70" s="5" t="inlineStr">
        <is>
          <t>※ 이 시트는 정보공시 단위(천안+서울 합산) 기준입니다. 입학정원기준 확보율은 재학생 수와 관계없이 입학정원·면적이 바뀔 때만 변합니다. 연도별 공식 예측은 입력 시트에 반영하세요.</t>
        </is>
      </c>
    </row>
  </sheetData>
  <mergeCells count="86">
    <mergeCell ref="A58:K58"/>
    <mergeCell ref="B22:C22"/>
    <mergeCell ref="A70:K70"/>
    <mergeCell ref="B21:C21"/>
    <mergeCell ref="E51:F51"/>
    <mergeCell ref="C54:D54"/>
    <mergeCell ref="A16:K16"/>
    <mergeCell ref="C50:D50"/>
    <mergeCell ref="A27:K27"/>
    <mergeCell ref="A18:K18"/>
    <mergeCell ref="E49:F49"/>
    <mergeCell ref="A2:K2"/>
    <mergeCell ref="D20:I20"/>
    <mergeCell ref="A17:K17"/>
    <mergeCell ref="J21:K21"/>
    <mergeCell ref="B24:C24"/>
    <mergeCell ref="A19:B19"/>
    <mergeCell ref="D22:I22"/>
    <mergeCell ref="J62:K62"/>
    <mergeCell ref="A28:K28"/>
    <mergeCell ref="E53:F53"/>
    <mergeCell ref="J23:K23"/>
    <mergeCell ref="D21:I21"/>
    <mergeCell ref="A9:K9"/>
    <mergeCell ref="J64:K64"/>
    <mergeCell ref="E55:F55"/>
    <mergeCell ref="A59:K59"/>
    <mergeCell ref="A11:K11"/>
    <mergeCell ref="G29:J29"/>
    <mergeCell ref="E48:F48"/>
    <mergeCell ref="G48:H48"/>
    <mergeCell ref="D5"/>
    <mergeCell ref="A46:K46"/>
    <mergeCell ref="F63:I63"/>
    <mergeCell ref="G49:H49"/>
    <mergeCell ref="J20:K20"/>
    <mergeCell ref="F60:K60"/>
    <mergeCell ref="J22:K22"/>
    <mergeCell ref="D7"/>
    <mergeCell ref="F62:I62"/>
    <mergeCell ref="H5:I5"/>
    <mergeCell ref="A10:K10"/>
    <mergeCell ref="J61:K61"/>
    <mergeCell ref="C53:D53"/>
    <mergeCell ref="A7:C7"/>
    <mergeCell ref="A68:K68"/>
    <mergeCell ref="E50:F50"/>
    <mergeCell ref="F61:I61"/>
    <mergeCell ref="E52:F52"/>
    <mergeCell ref="A1:K1"/>
    <mergeCell ref="F64:I64"/>
    <mergeCell ref="J24:K24"/>
    <mergeCell ref="J65:K65"/>
    <mergeCell ref="D24:I24"/>
    <mergeCell ref="A12:K12"/>
    <mergeCell ref="C51:D51"/>
    <mergeCell ref="D6"/>
    <mergeCell ref="C29:F29"/>
    <mergeCell ref="A14:K14"/>
    <mergeCell ref="C48:D48"/>
    <mergeCell ref="J66:K66"/>
    <mergeCell ref="G51:H51"/>
    <mergeCell ref="A4:K4"/>
    <mergeCell ref="E54:F54"/>
    <mergeCell ref="G54:H54"/>
    <mergeCell ref="B20:C20"/>
    <mergeCell ref="F66:I66"/>
    <mergeCell ref="G50:H50"/>
    <mergeCell ref="C49:D49"/>
    <mergeCell ref="G52:H52"/>
    <mergeCell ref="J5:K5"/>
    <mergeCell ref="H6:I6"/>
    <mergeCell ref="J6:K6"/>
    <mergeCell ref="E19:F19"/>
    <mergeCell ref="B23:C23"/>
    <mergeCell ref="C55:D55"/>
    <mergeCell ref="G53:H53"/>
    <mergeCell ref="F65:I65"/>
    <mergeCell ref="H7:I7"/>
    <mergeCell ref="D23:I23"/>
    <mergeCell ref="J7:K7"/>
    <mergeCell ref="J63:K63"/>
    <mergeCell ref="A47:K47"/>
    <mergeCell ref="C52:D52"/>
    <mergeCell ref="G55:H55"/>
    <mergeCell ref="A13:K13"/>
  </mergeCells>
  <conditionalFormatting sqref="A37:J37">
    <cfRule type="expression" priority="1" dxfId="7">
      <formula>TRUE</formula>
    </cfRule>
  </conditionalFormatting>
  <conditionalFormatting sqref="F31:F43">
    <cfRule type="expression" priority="2" dxfId="0">
      <formula>F31="미달"</formula>
    </cfRule>
    <cfRule type="expression" priority="3" dxfId="1">
      <formula>F31="주의"</formula>
    </cfRule>
    <cfRule type="expression" priority="4" dxfId="2">
      <formula>F31="적정"</formula>
    </cfRule>
  </conditionalFormatting>
  <conditionalFormatting sqref="J31:J43">
    <cfRule type="expression" priority="5" dxfId="0">
      <formula>J31="미달"</formula>
    </cfRule>
    <cfRule type="expression" priority="6" dxfId="1">
      <formula>J31="주의"</formula>
    </cfRule>
    <cfRule type="expression" priority="7" dxfId="2">
      <formula>J31="적정"</formula>
    </cfRule>
  </conditionalFormatting>
  <conditionalFormatting sqref="E49:H55">
    <cfRule type="cellIs" priority="8" operator="lessThan" dxfId="8">
      <formula>0</formula>
    </cfRule>
  </conditionalFormatting>
  <dataValidations count="2">
    <dataValidation sqref="B5" showDropDown="0" showInputMessage="0" showErrorMessage="0" allowBlank="0" type="list">
      <formula1>"2024,2025,2026,2027,2028,2029,2030"</formula1>
    </dataValidation>
    <dataValidation sqref="E19" showDropDown="0" showInputMessage="0" showErrorMessage="0" allowBlank="0" type="list">
      <formula1>"인문사회,자연·공학·예체능"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5" customWidth="1" min="7" max="7"/>
    <col width="22" customWidth="1" min="8" max="8"/>
    <col width="40" customWidth="1" min="9" max="9"/>
  </cols>
  <sheetData>
    <row r="1" ht="30" customHeight="1">
      <c r="A1" s="1" t="inlineStr">
        <is>
          <t>기초자료 · 2025 시설현황 집계표 / 2025 정보공시(14-라)</t>
        </is>
      </c>
    </row>
    <row r="2" ht="30" customHeight="1">
      <c r="A2" s="39" t="inlineStr">
        <is>
          <t>이 시트는 원자료 보관용입니다. 수정할 필요가 없습니다. (파란 글씨 = 집계표에서 옮겨 적은 값)</t>
        </is>
      </c>
    </row>
    <row r="4" ht="22" customHeight="1">
      <c r="A4" s="7" t="inlineStr">
        <is>
          <t>1. 건물 보유면적 (집계표 1-3, ㎡)</t>
        </is>
      </c>
      <c r="B4" s="8" t="n"/>
      <c r="C4" s="8" t="n"/>
      <c r="D4" s="8" t="n"/>
      <c r="E4" s="8" t="n"/>
      <c r="F4" s="8" t="n"/>
      <c r="G4" s="8" t="n"/>
      <c r="H4" s="8" t="n"/>
      <c r="I4" s="9" t="n"/>
    </row>
    <row r="5" ht="30" customHeight="1">
      <c r="A5" s="24" t="inlineStr">
        <is>
          <t>캠퍼스</t>
        </is>
      </c>
      <c r="B5" s="24" t="inlineStr">
        <is>
          <t>위치</t>
        </is>
      </c>
      <c r="C5" s="24" t="inlineStr">
        <is>
          <t>교육기본시설</t>
        </is>
      </c>
      <c r="D5" s="24" t="inlineStr">
        <is>
          <t>지원시설</t>
        </is>
      </c>
      <c r="E5" s="24" t="inlineStr">
        <is>
          <t>연구시설</t>
        </is>
      </c>
      <c r="F5" s="24" t="inlineStr">
        <is>
          <t>부속시설</t>
        </is>
      </c>
      <c r="G5" s="24" t="inlineStr">
        <is>
          <t>기타시설</t>
        </is>
      </c>
      <c r="H5" s="24" t="inlineStr">
        <is>
          <t>임대시설</t>
        </is>
      </c>
      <c r="I5" s="24" t="inlineStr">
        <is>
          <t>교사보유면적
(집계표)</t>
        </is>
      </c>
    </row>
    <row r="6">
      <c r="A6" s="53" t="inlineStr">
        <is>
          <t>본교(천안)</t>
        </is>
      </c>
      <c r="B6" s="53" t="inlineStr">
        <is>
          <t>교지경계선 내</t>
        </is>
      </c>
      <c r="C6" s="107" t="n">
        <v>146250.18</v>
      </c>
      <c r="D6" s="107" t="n">
        <v>49778.99</v>
      </c>
      <c r="E6" s="107" t="n">
        <v>0</v>
      </c>
      <c r="F6" s="107" t="n">
        <v>4252.54</v>
      </c>
      <c r="G6" s="107" t="n">
        <v>497</v>
      </c>
      <c r="H6" s="107" t="n">
        <v>5178.83</v>
      </c>
      <c r="I6" s="107" t="n">
        <v>201208</v>
      </c>
    </row>
    <row r="7">
      <c r="A7" s="53" t="inlineStr">
        <is>
          <t>본교(천안)</t>
        </is>
      </c>
      <c r="B7" s="53" t="inlineStr">
        <is>
          <t>20km 이내</t>
        </is>
      </c>
      <c r="C7" s="107" t="n">
        <v>6569.73</v>
      </c>
      <c r="D7" s="107" t="n">
        <v>0</v>
      </c>
      <c r="E7" s="107" t="n">
        <v>0</v>
      </c>
      <c r="F7" s="107" t="n">
        <v>2374.25</v>
      </c>
      <c r="G7" s="107" t="n">
        <v>7778.51</v>
      </c>
      <c r="H7" s="107" t="n">
        <v>0</v>
      </c>
      <c r="I7" s="107" t="n">
        <v>0</v>
      </c>
    </row>
    <row r="8">
      <c r="A8" s="53" t="inlineStr">
        <is>
          <t>본교(천안)</t>
        </is>
      </c>
      <c r="B8" s="53" t="inlineStr">
        <is>
          <t>20km 외</t>
        </is>
      </c>
      <c r="C8" s="107" t="n">
        <v>0</v>
      </c>
      <c r="D8" s="107" t="n">
        <v>0</v>
      </c>
      <c r="E8" s="107" t="n">
        <v>2942.06</v>
      </c>
      <c r="F8" s="107" t="n">
        <v>0</v>
      </c>
      <c r="G8" s="107" t="n">
        <v>0</v>
      </c>
      <c r="H8" s="107" t="n">
        <v>0</v>
      </c>
      <c r="I8" s="107" t="n">
        <v>0</v>
      </c>
    </row>
    <row r="9">
      <c r="A9" s="53" t="inlineStr">
        <is>
          <t>서울캠퍼스</t>
        </is>
      </c>
      <c r="B9" s="53" t="inlineStr">
        <is>
          <t>교지경계선 내</t>
        </is>
      </c>
      <c r="C9" s="107" t="n">
        <v>18570.5</v>
      </c>
      <c r="D9" s="107" t="n">
        <v>945.96</v>
      </c>
      <c r="E9" s="107" t="n">
        <v>0</v>
      </c>
      <c r="F9" s="107" t="n">
        <v>0</v>
      </c>
      <c r="G9" s="107" t="n">
        <v>0</v>
      </c>
      <c r="H9" s="107" t="n">
        <v>0</v>
      </c>
      <c r="I9" s="107" t="n">
        <v>19516.46</v>
      </c>
    </row>
    <row r="10">
      <c r="A10" s="53" t="inlineStr">
        <is>
          <t>서울캠퍼스</t>
        </is>
      </c>
      <c r="B10" s="53" t="inlineStr">
        <is>
          <t>20km 이내</t>
        </is>
      </c>
      <c r="C10" s="107" t="n">
        <v>0</v>
      </c>
      <c r="D10" s="107" t="n">
        <v>4794.83</v>
      </c>
      <c r="E10" s="107" t="n">
        <v>0</v>
      </c>
      <c r="F10" s="107" t="n">
        <v>0</v>
      </c>
      <c r="G10" s="107" t="n">
        <v>0</v>
      </c>
      <c r="H10" s="107" t="n">
        <v>0</v>
      </c>
      <c r="I10" s="107" t="n">
        <v>4794.83</v>
      </c>
    </row>
    <row r="12" ht="22" customHeight="1">
      <c r="A12" s="7" t="inlineStr">
        <is>
          <t>2. 확보율 계산에 들어가는 면적 (C 기본 · D 지원 · E 연구)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</row>
    <row r="13" ht="30" customHeight="1">
      <c r="A13" s="24" t="inlineStr">
        <is>
          <t>캠퍼스</t>
        </is>
      </c>
      <c r="B13" s="24" t="inlineStr">
        <is>
          <t>기본시설(C)</t>
        </is>
      </c>
      <c r="C13" s="24" t="inlineStr">
        <is>
          <t>지원시설(D)</t>
        </is>
      </c>
      <c r="D13" s="24" t="inlineStr">
        <is>
          <t>연구시설(E)</t>
        </is>
      </c>
      <c r="E13" s="24" t="inlineStr">
        <is>
          <t>계</t>
        </is>
      </c>
      <c r="F13" s="24" t="inlineStr">
        <is>
          <t>집계표 교사보유면적</t>
        </is>
      </c>
      <c r="G13" s="24" t="inlineStr">
        <is>
          <t>차이</t>
        </is>
      </c>
      <c r="H13" s="24" t="inlineStr">
        <is>
          <t>어떻게 계산했나</t>
        </is>
      </c>
      <c r="I13" s="9" t="n"/>
    </row>
    <row r="14" ht="32" customHeight="1">
      <c r="A14" s="53" t="inlineStr">
        <is>
          <t>본교(천안)</t>
        </is>
      </c>
      <c r="B14" s="108">
        <f>C6+H6</f>
        <v/>
      </c>
      <c r="C14" s="108">
        <f>D6</f>
        <v/>
      </c>
      <c r="D14" s="108">
        <f>E6</f>
        <v/>
      </c>
      <c r="E14" s="108">
        <f>SUM(B14:D14)</f>
        <v/>
      </c>
      <c r="F14" s="108">
        <f>I6+I7+I8</f>
        <v/>
      </c>
      <c r="G14" s="108">
        <f>E14-F14</f>
        <v/>
      </c>
      <c r="H14" s="109" t="inlineStr">
        <is>
          <t>교지경계선 내 기본+지원+연구 + 임대시설(학생후생복지) 5,178.83㎡. 20km 이내 기본 6,569.73㎡ · 20km 외 연구 2,942.06㎡은 미인정</t>
        </is>
      </c>
      <c r="I14" s="9" t="n"/>
    </row>
    <row r="15" ht="32" customHeight="1">
      <c r="A15" s="53" t="inlineStr">
        <is>
          <t>서울캠퍼스</t>
        </is>
      </c>
      <c r="B15" s="108">
        <f>C9</f>
        <v/>
      </c>
      <c r="C15" s="108">
        <f>D9+D10</f>
        <v/>
      </c>
      <c r="D15" s="108">
        <f>E9</f>
        <v/>
      </c>
      <c r="E15" s="108">
        <f>SUM(B15:D15)</f>
        <v/>
      </c>
      <c r="F15" s="108">
        <f>I9+I10</f>
        <v/>
      </c>
      <c r="G15" s="108">
        <f>E15-F15</f>
        <v/>
      </c>
      <c r="H15" s="109" t="inlineStr">
        <is>
          <t>교지경계선 내 기본+지원 + 20km 이내 학생기숙사(조이하우스) 4,794.83㎡</t>
        </is>
      </c>
      <c r="I15" s="9" t="n"/>
    </row>
    <row r="16">
      <c r="A16" s="31" t="inlineStr">
        <is>
          <t>합계</t>
        </is>
      </c>
      <c r="B16" s="110">
        <f>SUM(B14:B15)</f>
        <v/>
      </c>
      <c r="C16" s="110">
        <f>SUM(C14:C15)</f>
        <v/>
      </c>
      <c r="D16" s="110">
        <f>SUM(D14:D15)</f>
        <v/>
      </c>
      <c r="E16" s="110">
        <f>SUM(E14:E15)</f>
        <v/>
      </c>
      <c r="F16" s="110">
        <f>SUM(F14:F15)</f>
        <v/>
      </c>
      <c r="G16" s="110">
        <f>SUM(G14:G15)</f>
        <v/>
      </c>
      <c r="H16" s="32" t="inlineStr"/>
      <c r="I16" s="9" t="n"/>
    </row>
    <row r="18" ht="22" customHeight="1">
      <c r="A18" s="7" t="inlineStr">
        <is>
          <t>3. 시설정원 (집계표 2-2, 명)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</row>
    <row r="19" ht="30" customHeight="1">
      <c r="A19" s="24" t="inlineStr">
        <is>
          <t>캠퍼스</t>
        </is>
      </c>
      <c r="B19" s="24" t="inlineStr">
        <is>
          <t>과정</t>
        </is>
      </c>
      <c r="C19" s="24" t="inlineStr">
        <is>
          <t>인문사회</t>
        </is>
      </c>
      <c r="D19" s="24" t="inlineStr">
        <is>
          <t>자연과학</t>
        </is>
      </c>
      <c r="E19" s="24" t="inlineStr">
        <is>
          <t>공학</t>
        </is>
      </c>
      <c r="F19" s="24" t="inlineStr">
        <is>
          <t>예체능</t>
        </is>
      </c>
      <c r="G19" s="24" t="inlineStr">
        <is>
          <t>계</t>
        </is>
      </c>
    </row>
    <row r="20">
      <c r="A20" s="111" t="inlineStr">
        <is>
          <t>입학정원 기준 (수업연한 곱한 값)</t>
        </is>
      </c>
      <c r="B20" s="8" t="n"/>
      <c r="C20" s="8" t="n"/>
      <c r="D20" s="8" t="n"/>
      <c r="E20" s="8" t="n"/>
      <c r="F20" s="8" t="n"/>
      <c r="G20" s="9" t="n"/>
    </row>
    <row r="21">
      <c r="A21" s="53" t="inlineStr">
        <is>
          <t>본교(천안)</t>
        </is>
      </c>
      <c r="B21" s="53" t="inlineStr">
        <is>
          <t>학부</t>
        </is>
      </c>
      <c r="C21" s="112" t="n">
        <v>4032</v>
      </c>
      <c r="D21" s="112" t="n">
        <v>4488</v>
      </c>
      <c r="E21" s="112" t="n">
        <v>0</v>
      </c>
      <c r="F21" s="112" t="n">
        <v>2640</v>
      </c>
      <c r="G21" s="29">
        <f>SUM(C21:F21)</f>
        <v/>
      </c>
    </row>
    <row r="22">
      <c r="A22" s="53" t="inlineStr">
        <is>
          <t>본교(천안)</t>
        </is>
      </c>
      <c r="B22" s="53" t="inlineStr">
        <is>
          <t>대학원</t>
        </is>
      </c>
      <c r="C22" s="112" t="n">
        <v>55</v>
      </c>
      <c r="D22" s="112" t="n">
        <v>25</v>
      </c>
      <c r="E22" s="112" t="n">
        <v>6</v>
      </c>
      <c r="F22" s="112" t="n">
        <v>0</v>
      </c>
      <c r="G22" s="29">
        <f>SUM(C22:F22)</f>
        <v/>
      </c>
    </row>
    <row r="23">
      <c r="A23" s="53" t="inlineStr">
        <is>
          <t>서울캠퍼스</t>
        </is>
      </c>
      <c r="B23" s="53" t="inlineStr">
        <is>
          <t>대학원</t>
        </is>
      </c>
      <c r="C23" s="112" t="n">
        <v>886</v>
      </c>
      <c r="D23" s="112" t="n">
        <v>0</v>
      </c>
      <c r="E23" s="112" t="n">
        <v>0</v>
      </c>
      <c r="F23" s="112" t="n">
        <v>0</v>
      </c>
      <c r="G23" s="29">
        <f>SUM(C23:F23)</f>
        <v/>
      </c>
    </row>
    <row r="24">
      <c r="A24" s="111" t="inlineStr">
        <is>
          <t>재학생 기준 (2025.4.1.)</t>
        </is>
      </c>
      <c r="B24" s="8" t="n"/>
      <c r="C24" s="8" t="n"/>
      <c r="D24" s="8" t="n"/>
      <c r="E24" s="8" t="n"/>
      <c r="F24" s="8" t="n"/>
      <c r="G24" s="9" t="n"/>
    </row>
    <row r="25">
      <c r="A25" s="53" t="inlineStr">
        <is>
          <t>본교(천안)</t>
        </is>
      </c>
      <c r="B25" s="53" t="inlineStr">
        <is>
          <t>학부</t>
        </is>
      </c>
      <c r="C25" s="112" t="n">
        <v>4792</v>
      </c>
      <c r="D25" s="112" t="n">
        <v>4045</v>
      </c>
      <c r="E25" s="112" t="n">
        <v>0</v>
      </c>
      <c r="F25" s="112" t="n">
        <v>2737</v>
      </c>
      <c r="G25" s="29">
        <f>SUM(C25:F25)</f>
        <v/>
      </c>
    </row>
    <row r="26">
      <c r="A26" s="53" t="inlineStr">
        <is>
          <t>본교(천안)</t>
        </is>
      </c>
      <c r="B26" s="53" t="inlineStr">
        <is>
          <t>대학원</t>
        </is>
      </c>
      <c r="C26" s="112" t="n">
        <v>228</v>
      </c>
      <c r="D26" s="112" t="n">
        <v>30</v>
      </c>
      <c r="E26" s="112" t="n">
        <v>229</v>
      </c>
      <c r="F26" s="112" t="n">
        <v>0</v>
      </c>
      <c r="G26" s="29">
        <f>SUM(C26:F26)</f>
        <v/>
      </c>
    </row>
    <row r="27">
      <c r="A27" s="53" t="inlineStr">
        <is>
          <t>서울캠퍼스</t>
        </is>
      </c>
      <c r="B27" s="53" t="inlineStr">
        <is>
          <t>대학원</t>
        </is>
      </c>
      <c r="C27" s="112" t="n">
        <v>1001</v>
      </c>
      <c r="D27" s="112" t="n">
        <v>0</v>
      </c>
      <c r="E27" s="112" t="n">
        <v>0</v>
      </c>
      <c r="F27" s="112" t="n">
        <v>0</v>
      </c>
      <c r="G27" s="29">
        <f>SUM(C27:F27)</f>
        <v/>
      </c>
    </row>
    <row r="29" ht="22" customHeight="1">
      <c r="A29" s="7" t="inlineStr">
        <is>
          <t>4. 본교(천안) 학부 학년별 재학생 (집계표 2-3, 주간 · 야간 0명)</t>
        </is>
      </c>
      <c r="B29" s="8" t="n"/>
      <c r="C29" s="8" t="n"/>
      <c r="D29" s="8" t="n"/>
      <c r="E29" s="8" t="n"/>
      <c r="F29" s="8" t="n"/>
      <c r="G29" s="8" t="n"/>
      <c r="H29" s="8" t="n"/>
      <c r="I29" s="9" t="n"/>
    </row>
    <row r="30" ht="30" customHeight="1">
      <c r="A30" s="24" t="inlineStr">
        <is>
          <t>계열</t>
        </is>
      </c>
      <c r="B30" s="24" t="inlineStr">
        <is>
          <t>1학년</t>
        </is>
      </c>
      <c r="C30" s="24" t="inlineStr">
        <is>
          <t>2학년</t>
        </is>
      </c>
      <c r="D30" s="24" t="inlineStr">
        <is>
          <t>3학년</t>
        </is>
      </c>
      <c r="E30" s="24" t="inlineStr">
        <is>
          <t>4학년</t>
        </is>
      </c>
      <c r="F30" s="24" t="inlineStr">
        <is>
          <t>계</t>
        </is>
      </c>
      <c r="G30" s="24" t="inlineStr">
        <is>
          <t>3번 표와 차이</t>
        </is>
      </c>
    </row>
    <row r="31">
      <c r="A31" s="53" t="inlineStr">
        <is>
          <t>인문사회</t>
        </is>
      </c>
      <c r="B31" s="112" t="n">
        <v>1154</v>
      </c>
      <c r="C31" s="112" t="n">
        <v>1068</v>
      </c>
      <c r="D31" s="112" t="n">
        <v>1228</v>
      </c>
      <c r="E31" s="112" t="n">
        <v>1342</v>
      </c>
      <c r="F31" s="29">
        <f>SUM(B31:E31)</f>
        <v/>
      </c>
      <c r="G31" s="29">
        <f>F31-C25</f>
        <v/>
      </c>
    </row>
    <row r="32">
      <c r="A32" s="53" t="inlineStr">
        <is>
          <t>자연과학</t>
        </is>
      </c>
      <c r="B32" s="112" t="n">
        <v>1304</v>
      </c>
      <c r="C32" s="112" t="n">
        <v>901</v>
      </c>
      <c r="D32" s="112" t="n">
        <v>972</v>
      </c>
      <c r="E32" s="112" t="n">
        <v>868</v>
      </c>
      <c r="F32" s="29">
        <f>SUM(B32:E32)</f>
        <v/>
      </c>
      <c r="G32" s="29">
        <f>F32-D25</f>
        <v/>
      </c>
    </row>
    <row r="33">
      <c r="A33" s="53" t="inlineStr">
        <is>
          <t>공학</t>
        </is>
      </c>
      <c r="B33" s="112" t="n">
        <v>0</v>
      </c>
      <c r="C33" s="112" t="n">
        <v>0</v>
      </c>
      <c r="D33" s="112" t="n">
        <v>0</v>
      </c>
      <c r="E33" s="112" t="n">
        <v>0</v>
      </c>
      <c r="F33" s="29">
        <f>SUM(B33:E33)</f>
        <v/>
      </c>
      <c r="G33" s="29">
        <f>F33-E25</f>
        <v/>
      </c>
    </row>
    <row r="34">
      <c r="A34" s="53" t="inlineStr">
        <is>
          <t>예체능</t>
        </is>
      </c>
      <c r="B34" s="112" t="n">
        <v>694</v>
      </c>
      <c r="C34" s="112" t="n">
        <v>615</v>
      </c>
      <c r="D34" s="112" t="n">
        <v>684</v>
      </c>
      <c r="E34" s="112" t="n">
        <v>744</v>
      </c>
      <c r="F34" s="29">
        <f>SUM(B34:E34)</f>
        <v/>
      </c>
      <c r="G34" s="29">
        <f>F34-F25</f>
        <v/>
      </c>
    </row>
    <row r="36" ht="22" customHeight="1">
      <c r="A36" s="7" t="inlineStr">
        <is>
          <t>5. 2025 정보공시(14-라) 값과 이 시트로 계산한 값 대조</t>
        </is>
      </c>
      <c r="B36" s="8" t="n"/>
      <c r="C36" s="8" t="n"/>
      <c r="D36" s="8" t="n"/>
      <c r="E36" s="8" t="n"/>
      <c r="F36" s="8" t="n"/>
      <c r="G36" s="8" t="n"/>
      <c r="H36" s="8" t="n"/>
      <c r="I36" s="9" t="n"/>
    </row>
    <row r="37" ht="30" customHeight="1">
      <c r="A37" s="24" t="inlineStr">
        <is>
          <t>항목</t>
        </is>
      </c>
      <c r="B37" s="24" t="inlineStr">
        <is>
          <t>공시값</t>
        </is>
      </c>
      <c r="C37" s="24" t="inlineStr">
        <is>
          <t>계산값(원값)</t>
        </is>
      </c>
      <c r="D37" s="24" t="inlineStr">
        <is>
          <t>계산값(공시 표기)</t>
        </is>
      </c>
      <c r="E37" s="24" t="inlineStr">
        <is>
          <t>차이</t>
        </is>
      </c>
    </row>
    <row r="38">
      <c r="A38" s="42" t="inlineStr">
        <is>
          <t>입학정원 기준면적(A)</t>
        </is>
      </c>
      <c r="B38" s="113" t="n">
        <v>159902</v>
      </c>
      <c r="C38" s="114">
        <f>SUM(C21:C23)*12+SUM(D21:F23)*14</f>
        <v/>
      </c>
      <c r="D38" s="71">
        <f>ROUND(C38,0)</f>
        <v/>
      </c>
      <c r="E38" s="115">
        <f>D38-B38</f>
        <v/>
      </c>
    </row>
    <row r="39">
      <c r="A39" s="42" t="inlineStr">
        <is>
          <t>재학생 기준면적(B)</t>
        </is>
      </c>
      <c r="B39" s="113" t="n">
        <v>170826</v>
      </c>
      <c r="C39" s="114">
        <f>SUM(C25:C27)*12+SUM(D25:F27)*14</f>
        <v/>
      </c>
      <c r="D39" s="71">
        <f>ROUND(C39,0)</f>
        <v/>
      </c>
      <c r="E39" s="115">
        <f>D39-B39</f>
        <v/>
      </c>
    </row>
    <row r="40">
      <c r="A40" s="42" t="inlineStr">
        <is>
          <t>기본시설(C)</t>
        </is>
      </c>
      <c r="B40" s="113" t="n">
        <v>170000</v>
      </c>
      <c r="C40" s="114">
        <f>B16</f>
        <v/>
      </c>
      <c r="D40" s="71">
        <f>ROUND(C40,0)</f>
        <v/>
      </c>
      <c r="E40" s="115">
        <f>D40-B40</f>
        <v/>
      </c>
    </row>
    <row r="41">
      <c r="A41" s="42" t="inlineStr">
        <is>
          <t>지원시설(D)</t>
        </is>
      </c>
      <c r="B41" s="113" t="n">
        <v>55520</v>
      </c>
      <c r="C41" s="114">
        <f>C16</f>
        <v/>
      </c>
      <c r="D41" s="71">
        <f>ROUND(C41,0)</f>
        <v/>
      </c>
      <c r="E41" s="115">
        <f>D41-B41</f>
        <v/>
      </c>
    </row>
    <row r="42">
      <c r="A42" s="42" t="inlineStr">
        <is>
          <t>연구시설(E)</t>
        </is>
      </c>
      <c r="B42" s="113" t="n">
        <v>0</v>
      </c>
      <c r="C42" s="114">
        <f>D16</f>
        <v/>
      </c>
      <c r="D42" s="71">
        <f>ROUND(C42,0)</f>
        <v/>
      </c>
      <c r="E42" s="115">
        <f>D42-B42</f>
        <v/>
      </c>
    </row>
    <row r="43">
      <c r="A43" s="42" t="inlineStr">
        <is>
          <t>부속시설(교지경계선 내)</t>
        </is>
      </c>
      <c r="B43" s="113" t="n">
        <v>4253</v>
      </c>
      <c r="C43" s="114">
        <f>F6+F9</f>
        <v/>
      </c>
      <c r="D43" s="71">
        <f>ROUND(C43,0)</f>
        <v/>
      </c>
      <c r="E43" s="115">
        <f>D43-B43</f>
        <v/>
      </c>
    </row>
    <row r="44">
      <c r="A44" s="42" t="inlineStr">
        <is>
          <t>기타시설(교지경계선 내)</t>
        </is>
      </c>
      <c r="B44" s="113" t="n">
        <v>497</v>
      </c>
      <c r="C44" s="114">
        <f>G6+G9</f>
        <v/>
      </c>
      <c r="D44" s="71">
        <f>ROUND(C44,0)</f>
        <v/>
      </c>
      <c r="E44" s="115">
        <f>D44-B44</f>
        <v/>
      </c>
    </row>
    <row r="45">
      <c r="A45" s="42" t="inlineStr">
        <is>
          <t>입학정원기준 확보율(%)</t>
        </is>
      </c>
      <c r="B45" s="116" t="n">
        <v>141</v>
      </c>
      <c r="C45" s="117">
        <f>E16/C38*100</f>
        <v/>
      </c>
      <c r="D45" s="118">
        <f>ROUND(C45,0)</f>
        <v/>
      </c>
      <c r="E45" s="115">
        <f>D45-B45</f>
        <v/>
      </c>
    </row>
    <row r="46">
      <c r="A46" s="42" t="inlineStr">
        <is>
          <t>재학생기준 확보율(%)</t>
        </is>
      </c>
      <c r="B46" s="116" t="n">
        <v>132</v>
      </c>
      <c r="C46" s="117">
        <f>E16/C39*100</f>
        <v/>
      </c>
      <c r="D46" s="118">
        <f>ROUND(C46,0)</f>
        <v/>
      </c>
      <c r="E46" s="115">
        <f>D46-B46</f>
        <v/>
      </c>
    </row>
    <row r="47">
      <c r="A47" s="5" t="inlineStr">
        <is>
          <t>※ 2025 공시의 확보율은 정수로 표기되어 같은 자릿수로 반올림해 비교했습니다. 차이 열이 모두 '일치'면 원자료 입력이 정확한 것입니다.</t>
        </is>
      </c>
    </row>
  </sheetData>
  <mergeCells count="14">
    <mergeCell ref="A29:I29"/>
    <mergeCell ref="A2:I2"/>
    <mergeCell ref="H13:I13"/>
    <mergeCell ref="H16:I16"/>
    <mergeCell ref="A47:I47"/>
    <mergeCell ref="A36:I36"/>
    <mergeCell ref="H15:I15"/>
    <mergeCell ref="A1:I1"/>
    <mergeCell ref="A20:G20"/>
    <mergeCell ref="A18:I18"/>
    <mergeCell ref="A24:G24"/>
    <mergeCell ref="H14:I14"/>
    <mergeCell ref="A12:I12"/>
    <mergeCell ref="A4:I4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5" customWidth="1" min="7" max="7"/>
    <col width="22" customWidth="1" min="8" max="8"/>
    <col width="40" customWidth="1" min="9" max="9"/>
  </cols>
  <sheetData>
    <row r="1" ht="30" customHeight="1">
      <c r="A1" s="1" t="inlineStr">
        <is>
          <t>기초자료 · 2024 시설현황 집계표 / 2024 정보공시(14-라)</t>
        </is>
      </c>
    </row>
    <row r="2" ht="30" customHeight="1">
      <c r="A2" s="39" t="inlineStr">
        <is>
          <t>이 시트는 원자료 보관용입니다. 수정할 필요가 없습니다. (파란 글씨 = 집계표에서 옮겨 적은 값)</t>
        </is>
      </c>
    </row>
    <row r="4" ht="22" customHeight="1">
      <c r="A4" s="7" t="inlineStr">
        <is>
          <t>1. 건물 보유면적 (집계표 1-3, ㎡)</t>
        </is>
      </c>
      <c r="B4" s="8" t="n"/>
      <c r="C4" s="8" t="n"/>
      <c r="D4" s="8" t="n"/>
      <c r="E4" s="8" t="n"/>
      <c r="F4" s="8" t="n"/>
      <c r="G4" s="8" t="n"/>
      <c r="H4" s="8" t="n"/>
      <c r="I4" s="9" t="n"/>
    </row>
    <row r="5" ht="30" customHeight="1">
      <c r="A5" s="24" t="inlineStr">
        <is>
          <t>캠퍼스</t>
        </is>
      </c>
      <c r="B5" s="24" t="inlineStr">
        <is>
          <t>위치</t>
        </is>
      </c>
      <c r="C5" s="24" t="inlineStr">
        <is>
          <t>교육기본시설</t>
        </is>
      </c>
      <c r="D5" s="24" t="inlineStr">
        <is>
          <t>지원시설</t>
        </is>
      </c>
      <c r="E5" s="24" t="inlineStr">
        <is>
          <t>연구시설</t>
        </is>
      </c>
      <c r="F5" s="24" t="inlineStr">
        <is>
          <t>부속시설</t>
        </is>
      </c>
      <c r="G5" s="24" t="inlineStr">
        <is>
          <t>기타시설</t>
        </is>
      </c>
      <c r="H5" s="24" t="inlineStr">
        <is>
          <t>임대시설</t>
        </is>
      </c>
      <c r="I5" s="24" t="inlineStr">
        <is>
          <t>교사보유면적
(집계표)</t>
        </is>
      </c>
    </row>
    <row r="6">
      <c r="A6" s="53" t="inlineStr">
        <is>
          <t>본교(천안)</t>
        </is>
      </c>
      <c r="B6" s="53" t="inlineStr">
        <is>
          <t>교지경계선 내</t>
        </is>
      </c>
      <c r="C6" s="107" t="n">
        <v>146250.18</v>
      </c>
      <c r="D6" s="107" t="n">
        <v>49778.99</v>
      </c>
      <c r="E6" s="107" t="n">
        <v>0</v>
      </c>
      <c r="F6" s="107" t="n">
        <v>4252.54</v>
      </c>
      <c r="G6" s="107" t="n">
        <v>497</v>
      </c>
      <c r="H6" s="107" t="n">
        <v>5178.83</v>
      </c>
      <c r="I6" s="107" t="n">
        <v>201208</v>
      </c>
    </row>
    <row r="7">
      <c r="A7" s="53" t="inlineStr">
        <is>
          <t>본교(천안)</t>
        </is>
      </c>
      <c r="B7" s="53" t="inlineStr">
        <is>
          <t>20km 이내</t>
        </is>
      </c>
      <c r="C7" s="107" t="n">
        <v>6569.73</v>
      </c>
      <c r="D7" s="107" t="n">
        <v>0</v>
      </c>
      <c r="E7" s="107" t="n">
        <v>0</v>
      </c>
      <c r="F7" s="107" t="n">
        <v>3509.25</v>
      </c>
      <c r="G7" s="107" t="n">
        <v>16254.57</v>
      </c>
      <c r="H7" s="107" t="n">
        <v>5904.37</v>
      </c>
      <c r="I7" s="107" t="n">
        <v>0</v>
      </c>
    </row>
    <row r="8">
      <c r="A8" s="53" t="inlineStr">
        <is>
          <t>본교(천안)</t>
        </is>
      </c>
      <c r="B8" s="53" t="inlineStr">
        <is>
          <t>20km 외</t>
        </is>
      </c>
      <c r="C8" s="107" t="n">
        <v>0</v>
      </c>
      <c r="D8" s="107" t="n">
        <v>0</v>
      </c>
      <c r="E8" s="107" t="n">
        <v>2942.06</v>
      </c>
      <c r="F8" s="107" t="n">
        <v>0</v>
      </c>
      <c r="G8" s="107" t="n">
        <v>0</v>
      </c>
      <c r="H8" s="107" t="n">
        <v>0</v>
      </c>
      <c r="I8" s="107" t="n">
        <v>0</v>
      </c>
    </row>
    <row r="9">
      <c r="A9" s="53" t="inlineStr">
        <is>
          <t>서울캠퍼스</t>
        </is>
      </c>
      <c r="B9" s="53" t="inlineStr">
        <is>
          <t>교지경계선 내</t>
        </is>
      </c>
      <c r="C9" s="107" t="n">
        <v>18570.5</v>
      </c>
      <c r="D9" s="107" t="n">
        <v>945.96</v>
      </c>
      <c r="E9" s="107" t="n">
        <v>0</v>
      </c>
      <c r="F9" s="107" t="n">
        <v>0</v>
      </c>
      <c r="G9" s="107" t="n">
        <v>0</v>
      </c>
      <c r="H9" s="107" t="n">
        <v>0</v>
      </c>
      <c r="I9" s="107" t="n">
        <v>19516.46</v>
      </c>
    </row>
    <row r="10">
      <c r="A10" s="53" t="inlineStr">
        <is>
          <t>서울캠퍼스</t>
        </is>
      </c>
      <c r="B10" s="53" t="inlineStr">
        <is>
          <t>20km 이내</t>
        </is>
      </c>
      <c r="C10" s="107" t="n">
        <v>0</v>
      </c>
      <c r="D10" s="107" t="n">
        <v>4794.83</v>
      </c>
      <c r="E10" s="107" t="n">
        <v>0</v>
      </c>
      <c r="F10" s="107" t="n">
        <v>0</v>
      </c>
      <c r="G10" s="107" t="n">
        <v>0</v>
      </c>
      <c r="H10" s="107" t="n">
        <v>0</v>
      </c>
      <c r="I10" s="107" t="n">
        <v>4794.83</v>
      </c>
    </row>
    <row r="12" ht="22" customHeight="1">
      <c r="A12" s="7" t="inlineStr">
        <is>
          <t>2. 확보율 계산에 들어가는 면적 (C 기본 · D 지원 · E 연구)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</row>
    <row r="13" ht="30" customHeight="1">
      <c r="A13" s="24" t="inlineStr">
        <is>
          <t>캠퍼스</t>
        </is>
      </c>
      <c r="B13" s="24" t="inlineStr">
        <is>
          <t>기본시설(C)</t>
        </is>
      </c>
      <c r="C13" s="24" t="inlineStr">
        <is>
          <t>지원시설(D)</t>
        </is>
      </c>
      <c r="D13" s="24" t="inlineStr">
        <is>
          <t>연구시설(E)</t>
        </is>
      </c>
      <c r="E13" s="24" t="inlineStr">
        <is>
          <t>계</t>
        </is>
      </c>
      <c r="F13" s="24" t="inlineStr">
        <is>
          <t>집계표 교사보유면적</t>
        </is>
      </c>
      <c r="G13" s="24" t="inlineStr">
        <is>
          <t>차이</t>
        </is>
      </c>
      <c r="H13" s="24" t="inlineStr">
        <is>
          <t>어떻게 계산했나</t>
        </is>
      </c>
      <c r="I13" s="9" t="n"/>
    </row>
    <row r="14" ht="32" customHeight="1">
      <c r="A14" s="53" t="inlineStr">
        <is>
          <t>본교(천안)</t>
        </is>
      </c>
      <c r="B14" s="108">
        <f>C6+H6</f>
        <v/>
      </c>
      <c r="C14" s="108">
        <f>D6</f>
        <v/>
      </c>
      <c r="D14" s="108">
        <f>E6</f>
        <v/>
      </c>
      <c r="E14" s="108">
        <f>SUM(B14:D14)</f>
        <v/>
      </c>
      <c r="F14" s="108">
        <f>I6+I7+I8</f>
        <v/>
      </c>
      <c r="G14" s="108">
        <f>E14-F14</f>
        <v/>
      </c>
      <c r="H14" s="109" t="inlineStr">
        <is>
          <t>교지경계선 내 기본+지원+연구 + 임대시설(학생후생복지) 5,178.83㎡. 20km 이내 기본 6,569.73㎡ · 일반임대 5,904.37㎡ · 20km 외 연구 2,942.06㎡은 미인정</t>
        </is>
      </c>
      <c r="I14" s="9" t="n"/>
    </row>
    <row r="15" ht="32" customHeight="1">
      <c r="A15" s="53" t="inlineStr">
        <is>
          <t>서울캠퍼스</t>
        </is>
      </c>
      <c r="B15" s="108">
        <f>C9</f>
        <v/>
      </c>
      <c r="C15" s="108">
        <f>D9+D10</f>
        <v/>
      </c>
      <c r="D15" s="108">
        <f>E9</f>
        <v/>
      </c>
      <c r="E15" s="108">
        <f>SUM(B15:D15)</f>
        <v/>
      </c>
      <c r="F15" s="108">
        <f>I9+I10</f>
        <v/>
      </c>
      <c r="G15" s="108">
        <f>E15-F15</f>
        <v/>
      </c>
      <c r="H15" s="109" t="inlineStr">
        <is>
          <t>교지경계선 내 기본+지원 + 20km 이내 학생기숙사(조이하우스) 4,794.83㎡</t>
        </is>
      </c>
      <c r="I15" s="9" t="n"/>
    </row>
    <row r="16">
      <c r="A16" s="31" t="inlineStr">
        <is>
          <t>합계</t>
        </is>
      </c>
      <c r="B16" s="110">
        <f>SUM(B14:B15)</f>
        <v/>
      </c>
      <c r="C16" s="110">
        <f>SUM(C14:C15)</f>
        <v/>
      </c>
      <c r="D16" s="110">
        <f>SUM(D14:D15)</f>
        <v/>
      </c>
      <c r="E16" s="110">
        <f>SUM(E14:E15)</f>
        <v/>
      </c>
      <c r="F16" s="110">
        <f>SUM(F14:F15)</f>
        <v/>
      </c>
      <c r="G16" s="110">
        <f>SUM(G14:G15)</f>
        <v/>
      </c>
      <c r="H16" s="32" t="inlineStr"/>
      <c r="I16" s="9" t="n"/>
    </row>
    <row r="18" ht="22" customHeight="1">
      <c r="A18" s="7" t="inlineStr">
        <is>
          <t>3. 시설정원 (집계표 2-2, 명)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</row>
    <row r="19" ht="30" customHeight="1">
      <c r="A19" s="24" t="inlineStr">
        <is>
          <t>캠퍼스</t>
        </is>
      </c>
      <c r="B19" s="24" t="inlineStr">
        <is>
          <t>과정</t>
        </is>
      </c>
      <c r="C19" s="24" t="inlineStr">
        <is>
          <t>인문사회</t>
        </is>
      </c>
      <c r="D19" s="24" t="inlineStr">
        <is>
          <t>자연과학</t>
        </is>
      </c>
      <c r="E19" s="24" t="inlineStr">
        <is>
          <t>공학</t>
        </is>
      </c>
      <c r="F19" s="24" t="inlineStr">
        <is>
          <t>예체능</t>
        </is>
      </c>
      <c r="G19" s="24" t="inlineStr">
        <is>
          <t>계</t>
        </is>
      </c>
    </row>
    <row r="20">
      <c r="A20" s="111" t="inlineStr">
        <is>
          <t>입학정원 기준 (수업연한 곱한 값)</t>
        </is>
      </c>
      <c r="B20" s="8" t="n"/>
      <c r="C20" s="8" t="n"/>
      <c r="D20" s="8" t="n"/>
      <c r="E20" s="8" t="n"/>
      <c r="F20" s="8" t="n"/>
      <c r="G20" s="9" t="n"/>
    </row>
    <row r="21">
      <c r="A21" s="53" t="inlineStr">
        <is>
          <t>본교(천안)</t>
        </is>
      </c>
      <c r="B21" s="53" t="inlineStr">
        <is>
          <t>학부</t>
        </is>
      </c>
      <c r="C21" s="112" t="n">
        <v>4648</v>
      </c>
      <c r="D21" s="112" t="n">
        <v>3852</v>
      </c>
      <c r="E21" s="112" t="n">
        <v>0</v>
      </c>
      <c r="F21" s="112" t="n">
        <v>2660</v>
      </c>
      <c r="G21" s="29">
        <f>SUM(C21:F21)</f>
        <v/>
      </c>
    </row>
    <row r="22">
      <c r="A22" s="53" t="inlineStr">
        <is>
          <t>본교(천안)</t>
        </is>
      </c>
      <c r="B22" s="53" t="inlineStr">
        <is>
          <t>대학원</t>
        </is>
      </c>
      <c r="C22" s="112" t="n">
        <v>0</v>
      </c>
      <c r="D22" s="112" t="n">
        <v>25</v>
      </c>
      <c r="E22" s="112" t="n">
        <v>20</v>
      </c>
      <c r="F22" s="112" t="n">
        <v>0</v>
      </c>
      <c r="G22" s="29">
        <f>SUM(C22:F22)</f>
        <v/>
      </c>
    </row>
    <row r="23">
      <c r="A23" s="53" t="inlineStr">
        <is>
          <t>서울캠퍼스</t>
        </is>
      </c>
      <c r="B23" s="53" t="inlineStr">
        <is>
          <t>대학원</t>
        </is>
      </c>
      <c r="C23" s="112" t="n">
        <v>900</v>
      </c>
      <c r="D23" s="112" t="n">
        <v>0</v>
      </c>
      <c r="E23" s="112" t="n">
        <v>0</v>
      </c>
      <c r="F23" s="112" t="n">
        <v>0</v>
      </c>
      <c r="G23" s="29">
        <f>SUM(C23:F23)</f>
        <v/>
      </c>
    </row>
    <row r="24">
      <c r="A24" s="111" t="inlineStr">
        <is>
          <t>재학생 기준 (2024.4.1.)</t>
        </is>
      </c>
      <c r="B24" s="8" t="n"/>
      <c r="C24" s="8" t="n"/>
      <c r="D24" s="8" t="n"/>
      <c r="E24" s="8" t="n"/>
      <c r="F24" s="8" t="n"/>
      <c r="G24" s="9" t="n"/>
    </row>
    <row r="25">
      <c r="A25" s="53" t="inlineStr">
        <is>
          <t>본교(천안)</t>
        </is>
      </c>
      <c r="B25" s="53" t="inlineStr">
        <is>
          <t>학부</t>
        </is>
      </c>
      <c r="C25" s="112" t="n">
        <v>5106</v>
      </c>
      <c r="D25" s="112" t="n">
        <v>3707</v>
      </c>
      <c r="E25" s="112" t="n">
        <v>0</v>
      </c>
      <c r="F25" s="112" t="n">
        <v>2773</v>
      </c>
      <c r="G25" s="29">
        <f>SUM(C25:F25)</f>
        <v/>
      </c>
    </row>
    <row r="26">
      <c r="A26" s="53" t="inlineStr">
        <is>
          <t>본교(천안)</t>
        </is>
      </c>
      <c r="B26" s="53" t="inlineStr">
        <is>
          <t>대학원</t>
        </is>
      </c>
      <c r="C26" s="112" t="n">
        <v>125</v>
      </c>
      <c r="D26" s="112" t="n">
        <v>20</v>
      </c>
      <c r="E26" s="112" t="n">
        <v>126</v>
      </c>
      <c r="F26" s="112" t="n">
        <v>0</v>
      </c>
      <c r="G26" s="29">
        <f>SUM(C26:F26)</f>
        <v/>
      </c>
    </row>
    <row r="27">
      <c r="A27" s="53" t="inlineStr">
        <is>
          <t>서울캠퍼스</t>
        </is>
      </c>
      <c r="B27" s="53" t="inlineStr">
        <is>
          <t>대학원</t>
        </is>
      </c>
      <c r="C27" s="112" t="n">
        <v>995</v>
      </c>
      <c r="D27" s="112" t="n">
        <v>0</v>
      </c>
      <c r="E27" s="112" t="n">
        <v>0</v>
      </c>
      <c r="F27" s="112" t="n">
        <v>0</v>
      </c>
      <c r="G27" s="29">
        <f>SUM(C27:F27)</f>
        <v/>
      </c>
    </row>
    <row r="29" ht="22" customHeight="1">
      <c r="A29" s="7" t="inlineStr">
        <is>
          <t>4. 본교(천안) 학부 학년별 재학생 (집계표 2-3, 주간 · 야간 0명)</t>
        </is>
      </c>
      <c r="B29" s="8" t="n"/>
      <c r="C29" s="8" t="n"/>
      <c r="D29" s="8" t="n"/>
      <c r="E29" s="8" t="n"/>
      <c r="F29" s="8" t="n"/>
      <c r="G29" s="8" t="n"/>
      <c r="H29" s="8" t="n"/>
      <c r="I29" s="9" t="n"/>
    </row>
    <row r="30" ht="30" customHeight="1">
      <c r="A30" s="24" t="inlineStr">
        <is>
          <t>계열</t>
        </is>
      </c>
      <c r="B30" s="24" t="inlineStr">
        <is>
          <t>1학년</t>
        </is>
      </c>
      <c r="C30" s="24" t="inlineStr">
        <is>
          <t>2학년</t>
        </is>
      </c>
      <c r="D30" s="24" t="inlineStr">
        <is>
          <t>3학년</t>
        </is>
      </c>
      <c r="E30" s="24" t="inlineStr">
        <is>
          <t>4학년</t>
        </is>
      </c>
      <c r="F30" s="24" t="inlineStr">
        <is>
          <t>계</t>
        </is>
      </c>
      <c r="G30" s="24" t="inlineStr">
        <is>
          <t>3번 표와 차이</t>
        </is>
      </c>
    </row>
    <row r="31">
      <c r="A31" s="53" t="inlineStr">
        <is>
          <t>인문사회</t>
        </is>
      </c>
      <c r="B31" s="112" t="n">
        <v>1274</v>
      </c>
      <c r="C31" s="112" t="n">
        <v>1188</v>
      </c>
      <c r="D31" s="112" t="n">
        <v>1221</v>
      </c>
      <c r="E31" s="112" t="n">
        <v>1423</v>
      </c>
      <c r="F31" s="29">
        <f>SUM(B31:E31)</f>
        <v/>
      </c>
      <c r="G31" s="29">
        <f>F31-C25</f>
        <v/>
      </c>
    </row>
    <row r="32">
      <c r="A32" s="53" t="inlineStr">
        <is>
          <t>자연과학</t>
        </is>
      </c>
      <c r="B32" s="112" t="n">
        <v>1091</v>
      </c>
      <c r="C32" s="112" t="n">
        <v>910</v>
      </c>
      <c r="D32" s="112" t="n">
        <v>808</v>
      </c>
      <c r="E32" s="112" t="n">
        <v>898</v>
      </c>
      <c r="F32" s="29">
        <f>SUM(B32:E32)</f>
        <v/>
      </c>
      <c r="G32" s="29">
        <f>F32-D25</f>
        <v/>
      </c>
    </row>
    <row r="33">
      <c r="A33" s="53" t="inlineStr">
        <is>
          <t>공학</t>
        </is>
      </c>
      <c r="B33" s="112" t="n">
        <v>0</v>
      </c>
      <c r="C33" s="112" t="n">
        <v>0</v>
      </c>
      <c r="D33" s="112" t="n">
        <v>0</v>
      </c>
      <c r="E33" s="112" t="n">
        <v>0</v>
      </c>
      <c r="F33" s="29">
        <f>SUM(B33:E33)</f>
        <v/>
      </c>
      <c r="G33" s="29">
        <f>F33-E25</f>
        <v/>
      </c>
    </row>
    <row r="34">
      <c r="A34" s="53" t="inlineStr">
        <is>
          <t>예체능</t>
        </is>
      </c>
      <c r="B34" s="112" t="n">
        <v>698</v>
      </c>
      <c r="C34" s="112" t="n">
        <v>612</v>
      </c>
      <c r="D34" s="112" t="n">
        <v>722</v>
      </c>
      <c r="E34" s="112" t="n">
        <v>741</v>
      </c>
      <c r="F34" s="29">
        <f>SUM(B34:E34)</f>
        <v/>
      </c>
      <c r="G34" s="29">
        <f>F34-F25</f>
        <v/>
      </c>
    </row>
    <row r="36" ht="22" customHeight="1">
      <c r="A36" s="7" t="inlineStr">
        <is>
          <t>5. 2024 정보공시(14-라) 값과 이 시트로 계산한 값 대조</t>
        </is>
      </c>
      <c r="B36" s="8" t="n"/>
      <c r="C36" s="8" t="n"/>
      <c r="D36" s="8" t="n"/>
      <c r="E36" s="8" t="n"/>
      <c r="F36" s="8" t="n"/>
      <c r="G36" s="8" t="n"/>
      <c r="H36" s="8" t="n"/>
      <c r="I36" s="9" t="n"/>
    </row>
    <row r="37" ht="30" customHeight="1">
      <c r="A37" s="24" t="inlineStr">
        <is>
          <t>항목</t>
        </is>
      </c>
      <c r="B37" s="24" t="inlineStr">
        <is>
          <t>공시값</t>
        </is>
      </c>
      <c r="C37" s="24" t="inlineStr">
        <is>
          <t>계산값(원값)</t>
        </is>
      </c>
      <c r="D37" s="24" t="inlineStr">
        <is>
          <t>계산값(공시 표기)</t>
        </is>
      </c>
      <c r="E37" s="24" t="inlineStr">
        <is>
          <t>차이</t>
        </is>
      </c>
    </row>
    <row r="38">
      <c r="A38" s="42" t="inlineStr">
        <is>
          <t>입학정원 기준면적(A)</t>
        </is>
      </c>
      <c r="B38" s="113" t="n">
        <v>158374</v>
      </c>
      <c r="C38" s="114">
        <f>SUM(C21:C23)*12+SUM(D21:F23)*14</f>
        <v/>
      </c>
      <c r="D38" s="71">
        <f>ROUND(C38,0)</f>
        <v/>
      </c>
      <c r="E38" s="115">
        <f>D38-B38</f>
        <v/>
      </c>
    </row>
    <row r="39">
      <c r="A39" s="42" t="inlineStr">
        <is>
          <t>재학생 기준면적(B)</t>
        </is>
      </c>
      <c r="B39" s="113" t="n">
        <v>167476</v>
      </c>
      <c r="C39" s="114">
        <f>SUM(C25:C27)*12+SUM(D25:F27)*14</f>
        <v/>
      </c>
      <c r="D39" s="71">
        <f>ROUND(C39,0)</f>
        <v/>
      </c>
      <c r="E39" s="115">
        <f>D39-B39</f>
        <v/>
      </c>
    </row>
    <row r="40">
      <c r="A40" s="42" t="inlineStr">
        <is>
          <t>기본시설(C)</t>
        </is>
      </c>
      <c r="B40" s="113" t="n">
        <v>170000</v>
      </c>
      <c r="C40" s="114">
        <f>B16</f>
        <v/>
      </c>
      <c r="D40" s="71">
        <f>ROUND(C40,0)</f>
        <v/>
      </c>
      <c r="E40" s="115">
        <f>D40-B40</f>
        <v/>
      </c>
    </row>
    <row r="41">
      <c r="A41" s="42" t="inlineStr">
        <is>
          <t>지원시설(D)</t>
        </is>
      </c>
      <c r="B41" s="113" t="n">
        <v>55520</v>
      </c>
      <c r="C41" s="114">
        <f>C16</f>
        <v/>
      </c>
      <c r="D41" s="71">
        <f>ROUND(C41,0)</f>
        <v/>
      </c>
      <c r="E41" s="115">
        <f>D41-B41</f>
        <v/>
      </c>
    </row>
    <row r="42">
      <c r="A42" s="42" t="inlineStr">
        <is>
          <t>연구시설(E)</t>
        </is>
      </c>
      <c r="B42" s="113" t="n">
        <v>0</v>
      </c>
      <c r="C42" s="114">
        <f>D16</f>
        <v/>
      </c>
      <c r="D42" s="71">
        <f>ROUND(C42,0)</f>
        <v/>
      </c>
      <c r="E42" s="115">
        <f>D42-B42</f>
        <v/>
      </c>
    </row>
    <row r="43">
      <c r="A43" s="42" t="inlineStr">
        <is>
          <t>부속시설(교지경계선 내)</t>
        </is>
      </c>
      <c r="B43" s="113" t="n">
        <v>4253</v>
      </c>
      <c r="C43" s="114">
        <f>F6+F9</f>
        <v/>
      </c>
      <c r="D43" s="71">
        <f>ROUND(C43,0)</f>
        <v/>
      </c>
      <c r="E43" s="115">
        <f>D43-B43</f>
        <v/>
      </c>
    </row>
    <row r="44">
      <c r="A44" s="42" t="inlineStr">
        <is>
          <t>기타시설(교지경계선 내)</t>
        </is>
      </c>
      <c r="B44" s="113" t="n">
        <v>497</v>
      </c>
      <c r="C44" s="114">
        <f>G6+G9</f>
        <v/>
      </c>
      <c r="D44" s="71">
        <f>ROUND(C44,0)</f>
        <v/>
      </c>
      <c r="E44" s="115">
        <f>D44-B44</f>
        <v/>
      </c>
    </row>
    <row r="45">
      <c r="A45" s="42" t="inlineStr">
        <is>
          <t>입학정원기준 확보율(%)</t>
        </is>
      </c>
      <c r="B45" s="119" t="n">
        <v>142.4</v>
      </c>
      <c r="C45" s="117">
        <f>E16/C38*100</f>
        <v/>
      </c>
      <c r="D45" s="120">
        <f>ROUND(C45,1)</f>
        <v/>
      </c>
      <c r="E45" s="115">
        <f>D45-B45</f>
        <v/>
      </c>
    </row>
    <row r="46">
      <c r="A46" s="42" t="inlineStr">
        <is>
          <t>재학생기준 확보율(%)</t>
        </is>
      </c>
      <c r="B46" s="119" t="n">
        <v>134.7</v>
      </c>
      <c r="C46" s="117">
        <f>E16/C39*100</f>
        <v/>
      </c>
      <c r="D46" s="120">
        <f>ROUND(C46,1)</f>
        <v/>
      </c>
      <c r="E46" s="115">
        <f>D46-B46</f>
        <v/>
      </c>
    </row>
    <row r="47">
      <c r="A47" s="5" t="inlineStr">
        <is>
          <t>※ 2024 공시의 확보율은 소수 첫째자리로 표기되어 같은 자릿수로 반올림해 비교했습니다. 차이 열이 모두 '일치'면 원자료 입력이 정확한 것입니다.</t>
        </is>
      </c>
    </row>
  </sheetData>
  <mergeCells count="14">
    <mergeCell ref="A29:I29"/>
    <mergeCell ref="A2:I2"/>
    <mergeCell ref="H13:I13"/>
    <mergeCell ref="H16:I16"/>
    <mergeCell ref="A47:I47"/>
    <mergeCell ref="A36:I36"/>
    <mergeCell ref="H15:I15"/>
    <mergeCell ref="A1:I1"/>
    <mergeCell ref="A20:G20"/>
    <mergeCell ref="A18:I18"/>
    <mergeCell ref="A24:G24"/>
    <mergeCell ref="H14:I14"/>
    <mergeCell ref="A12:I12"/>
    <mergeCell ref="A4:I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2026-10-14T00:08:51Z</dcterms:created>
  <dcterms:modified xmlns:dcterms="http://purl.org/dc/terms/" xmlns:xsi="http://www.w3.org/2001/XMLSchema-instance" xsi:type="dcterms:W3CDTF">2026-10-14T00:08:51Z</dcterms:modified>
</cp:coreProperties>
</file>